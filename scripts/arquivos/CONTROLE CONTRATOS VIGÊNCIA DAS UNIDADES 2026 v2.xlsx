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430"/>
  <workbookPr/>
  <mc:AlternateContent xmlns:mc="http://schemas.openxmlformats.org/markup-compatibility/2006">
    <mc:Choice Requires="x15">
      <x15ac:absPath xmlns:x15ac="http://schemas.microsoft.com/office/spreadsheetml/2010/11/ac" url="\\192.168.20.11\scraa\COORDENAÇÃO DE PROGRAMAÇÃO E AVALIAÇÃO\DPAH - DIVISÃO DE PROGRAMAÇÃO AMBULATORIAL E HOSPITALAR\1 ADITIVOS E CONTRATOS E EMENDAS 2026\"/>
    </mc:Choice>
  </mc:AlternateContent>
  <xr:revisionPtr revIDLastSave="0" documentId="13_ncr:1_{D3EA2C08-0934-4CD5-AE38-249F376BC63B}" xr6:coauthVersionLast="47" xr6:coauthVersionMax="47" xr10:uidLastSave="{00000000-0000-0000-0000-000000000000}"/>
  <bookViews>
    <workbookView xWindow="-120" yWindow="-120" windowWidth="24240" windowHeight="13140" activeTab="1" xr2:uid="{00000000-000D-0000-FFFF-FFFF00000000}"/>
  </bookViews>
  <sheets>
    <sheet name="ADITIVOS ANTIGOS" sheetId="10" r:id="rId1"/>
    <sheet name="VIGENTES" sheetId="3" r:id="rId2"/>
    <sheet name="INDENIZATÓRIO" sheetId="4" r:id="rId3"/>
    <sheet name="EMENDAS 2024 E 2025" sheetId="8" r:id="rId4"/>
    <sheet name="EMENDAS 2026" sheetId="9" r:id="rId5"/>
  </sheets>
  <definedNames>
    <definedName name="_xlnm.Print_Area" localSheetId="1">VIGENTES!$A$1:$M$9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4" i="3" l="1"/>
  <c r="L15" i="3"/>
  <c r="L16" i="3"/>
  <c r="L17" i="3"/>
  <c r="L18" i="3"/>
  <c r="L19" i="3"/>
  <c r="L20" i="3"/>
  <c r="L13" i="3" l="1"/>
  <c r="L11" i="3"/>
  <c r="L12" i="3"/>
  <c r="L10" i="3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12" i="8"/>
  <c r="I4" i="8"/>
  <c r="I7" i="8"/>
  <c r="I9" i="8"/>
  <c r="I10" i="8"/>
  <c r="L2" i="3"/>
  <c r="L9" i="3" l="1"/>
  <c r="L8" i="3"/>
  <c r="L7" i="3"/>
  <c r="L3" i="3" l="1"/>
  <c r="L4" i="3"/>
  <c r="L5" i="3"/>
  <c r="L6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Marina Marina Mota França</author>
  </authors>
  <commentList>
    <comment ref="L1" authorId="0" shapeId="0" xr:uid="{00000000-0006-0000-0000-000001000000}">
      <text>
        <r>
          <rPr>
            <sz val="9"/>
            <color indexed="81"/>
            <rFont val="Segoe UI"/>
            <family val="2"/>
          </rPr>
          <t>Faltando 3 meses para o enceraamento, fica amarelo; Faltando 2 meses, fica vermelho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C6" authorId="0" shapeId="0" xr:uid="{00000000-0006-0000-0000-000002000000}">
      <text>
        <r>
          <rPr>
            <sz val="9"/>
            <color indexed="81"/>
            <rFont val="Segoe UI"/>
            <family val="2"/>
          </rPr>
          <t>O Termo do Convênio saiu erroneamente como nº 03/2025, mas é pra ser nº 07/2025.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Marina Marina Mota França</author>
  </authors>
  <commentList>
    <comment ref="D1" authorId="0" shapeId="0" xr:uid="{F4E2CD3D-B582-4395-97AA-9FC489F0F2BB}">
      <text>
        <r>
          <rPr>
            <b/>
            <sz val="9"/>
            <color indexed="81"/>
            <rFont val="Segoe UI"/>
            <charset val="1"/>
          </rPr>
          <t>Marina Mota França:</t>
        </r>
        <r>
          <rPr>
            <sz val="9"/>
            <color indexed="81"/>
            <rFont val="Segoe UI"/>
            <charset val="1"/>
          </rPr>
          <t xml:space="preserve">
Atualizado até março de 2026</t>
        </r>
      </text>
    </comment>
  </commentList>
</comments>
</file>

<file path=xl/sharedStrings.xml><?xml version="1.0" encoding="utf-8"?>
<sst xmlns="http://schemas.openxmlformats.org/spreadsheetml/2006/main" count="571" uniqueCount="332">
  <si>
    <t>ESTABELECIMENTO - CNES</t>
  </si>
  <si>
    <t>TERMO ADITIVO VIGENTE</t>
  </si>
  <si>
    <t>001/2023</t>
  </si>
  <si>
    <t>162/2024</t>
  </si>
  <si>
    <t>DATA DE INÍCIO</t>
  </si>
  <si>
    <t>DATA DE FINALIZAÇÃO</t>
  </si>
  <si>
    <t>VALOR DO ÚLTIMO DOCUMENTO (ANUAL)</t>
  </si>
  <si>
    <t>CONVÊNIO</t>
  </si>
  <si>
    <t>CONTRATO</t>
  </si>
  <si>
    <t>OBJETO</t>
  </si>
  <si>
    <t>Nº DO PRCESSO 
(ORIGINAL /ADITIVO)</t>
  </si>
  <si>
    <t>COMPLEXIDADE</t>
  </si>
  <si>
    <t>APAE - 2458322</t>
  </si>
  <si>
    <t>CENTRO ASSISTENCIAL ELGITHA BRANDAO - 2457776</t>
  </si>
  <si>
    <t>INSTITUTO MARANHENSE DE ONCOLOGIA ALDENORA BELO-IMOAB - 2697696</t>
  </si>
  <si>
    <t>SANTA CASA DE MISERICÓRDIA - 2456958</t>
  </si>
  <si>
    <t>EBSERH HOSPITAL UNIVERSITARIO DE SAO LUIS - 2726653</t>
  </si>
  <si>
    <t xml:space="preserve"> 15901.000456/2026 </t>
  </si>
  <si>
    <t>MC</t>
  </si>
  <si>
    <t>MC
AC</t>
  </si>
  <si>
    <t>002/2026</t>
  </si>
  <si>
    <t>001/2026</t>
  </si>
  <si>
    <t>....</t>
  </si>
  <si>
    <t>15901.000457/2026</t>
  </si>
  <si>
    <t>040.20460/2023/SEMUS  
15901.028627/2025</t>
  </si>
  <si>
    <t>A prestação de serviços especializados de Atendimento Ambulatorial, Hospitalar e de Urgência e Emergências descritas no Plano de Trabalho</t>
  </si>
  <si>
    <t>A prestação de serviços especializados de Atendimento Ambulatorial no Plano de Trabalho</t>
  </si>
  <si>
    <t>010/2025</t>
  </si>
  <si>
    <t>007/2025</t>
  </si>
  <si>
    <t xml:space="preserve">15901.020862/2025 </t>
  </si>
  <si>
    <t>15901.032200/2025</t>
  </si>
  <si>
    <t>A prestação de serviços especializados de Atendimento Ambulatorial e Hospitalar descritas no Plano de Trabalho</t>
  </si>
  <si>
    <t>DIAS RESTANTES</t>
  </si>
  <si>
    <t>Nº 003/2025
589/2025</t>
  </si>
  <si>
    <t>DAVITA - INSTITUTO MARANHENSE DO RIM LTDA EPP - 5744075</t>
  </si>
  <si>
    <t>15901.011067/2024</t>
  </si>
  <si>
    <t>A prestação dos serviços de apoio à Terapia Renal Substitutiva (TRS) de sessões de hemodiálise, assistência multiprofissional em Doença Renal Crônica (DRC), exames, procedimentos com finalidade diagnóstica, consultas médica e multiprofissional, procedimentos cirúrgicos, órteses, próteses e materiais especiais, exames complementares não-SUS e fornecimento de insumos necessários a execução dos procedimentos de TRS</t>
  </si>
  <si>
    <t>AC</t>
  </si>
  <si>
    <t>CENEFRON - 2457962</t>
  </si>
  <si>
    <t>Nº 003/2025
434/2025</t>
  </si>
  <si>
    <t>Nº 003/2025
436/2025</t>
  </si>
  <si>
    <t>CLINICA DE RIM E HIPERTENSAO ARTERIAL LTDA - 2309009</t>
  </si>
  <si>
    <t xml:space="preserve">Prestação de serviços de apoio diagnóstico terapêutico e assistência médica especializada na área de MEDICINA NUCLEAR IN VIVO em adultos e crianças, em regime ambulatorial e hospitalar durante a semana, podendo realizar nos três turnos (manhã, tarde e noite) </t>
  </si>
  <si>
    <t>Nº CONVÊNIO/
CONTRATO</t>
  </si>
  <si>
    <t>STATUS</t>
  </si>
  <si>
    <t>Nº CONVÊNIO</t>
  </si>
  <si>
    <t xml:space="preserve">Nº DO PRCESSO </t>
  </si>
  <si>
    <t>ORIGEM</t>
  </si>
  <si>
    <t>COMISSÃO DE MONITORAMENTO</t>
  </si>
  <si>
    <t>DATA DE INICIO</t>
  </si>
  <si>
    <t>DATA FINAL</t>
  </si>
  <si>
    <t>VALOR</t>
  </si>
  <si>
    <t>Apostilamento em andamento sobre piso salarial</t>
  </si>
  <si>
    <t>Apostilamento em andamento sobre piso salarial
Realizar novo aditivo, ajuste de procedimentos (cateterismo e angioplastia) e detalhamento de tabela</t>
  </si>
  <si>
    <t>Aditivo em andamento</t>
  </si>
  <si>
    <t xml:space="preserve"> VEREADORA CONCITA PINTO</t>
  </si>
  <si>
    <t>João de Deus da Costa Leite Júnior
Juliana Campos Coelho
Ana Cajado Lemos de Freitas</t>
  </si>
  <si>
    <t>15901.042023/2025</t>
  </si>
  <si>
    <t xml:space="preserve">ROSANA DA SAUDE </t>
  </si>
  <si>
    <t>15901.039936/2025</t>
  </si>
  <si>
    <t xml:space="preserve"> VEREADORA CONCITA PINTO </t>
  </si>
  <si>
    <t>15901.042014/2025</t>
  </si>
  <si>
    <t>15901.042545/2025</t>
  </si>
  <si>
    <t xml:space="preserve"> VEREADOR OTÁVIO SOEIRO </t>
  </si>
  <si>
    <t>15901.042020/2025</t>
  </si>
  <si>
    <t xml:space="preserve"> VEREADOR ALDIR JUNIOR</t>
  </si>
  <si>
    <t>15901.042524/2025</t>
  </si>
  <si>
    <t>15901.042386/2025 </t>
  </si>
  <si>
    <t>VEREADOR DR JOEL</t>
  </si>
  <si>
    <t>15901.042525/2025</t>
  </si>
  <si>
    <t xml:space="preserve">VEREADOR OTÁVIO SOEIRO </t>
  </si>
  <si>
    <t>15901.042903/2025</t>
  </si>
  <si>
    <t>VEREADORA CLARA GOMES</t>
  </si>
  <si>
    <t>15901.042996/2025</t>
  </si>
  <si>
    <t>VEREADOR MARLON BOTÃO</t>
  </si>
  <si>
    <t>15901.042537/2025</t>
  </si>
  <si>
    <t>VEREADOR RAIMUNDO PENHA</t>
  </si>
  <si>
    <t>15901.042532/2025</t>
  </si>
  <si>
    <t>VEREADOR COLETIVO NÓS</t>
  </si>
  <si>
    <t xml:space="preserve"> 15901.042534/2025</t>
  </si>
  <si>
    <t>VEREADOR DOUGLAS PINTO</t>
  </si>
  <si>
    <t>VEREADOR THYAGO FREITAS</t>
  </si>
  <si>
    <t>15901.042533/2025</t>
  </si>
  <si>
    <t>VEREADOR DANIEL OLIVEIRA</t>
  </si>
  <si>
    <t>15901.042899/2025</t>
  </si>
  <si>
    <t>VEREADOR ANTONIO GARCEZ</t>
  </si>
  <si>
    <t>15901.042541/2025</t>
  </si>
  <si>
    <t>15901.036659/2025</t>
  </si>
  <si>
    <t>VEREADOR OTAVIO SOEIRO</t>
  </si>
  <si>
    <t>Ilza Silva Kury
Jéssica Honnorina Penha Mendes
Juliana Campos Coelho</t>
  </si>
  <si>
    <t>15901.042017/2025</t>
  </si>
  <si>
    <t>15901.042019/2025</t>
  </si>
  <si>
    <t>15901.042896/2025</t>
  </si>
  <si>
    <t xml:space="preserve"> VEREADORA CLARA GOMES</t>
  </si>
  <si>
    <t>Ilza Silva Kury
Jéssica Honnorina Penha Mendes
Daniella Bernardo de Menezes</t>
  </si>
  <si>
    <t>15901.042890/2025</t>
  </si>
  <si>
    <t>15901.042540/2025</t>
  </si>
  <si>
    <t>15901.043170/2025</t>
  </si>
  <si>
    <t>15901.033878/2025</t>
  </si>
  <si>
    <t>VEREADORA PROFª MAGNÓLIA</t>
  </si>
  <si>
    <t>15901.032227/2025</t>
  </si>
  <si>
    <t>VEREADORA DR. JOEL</t>
  </si>
  <si>
    <t>ESPECIFICAÇÃO</t>
  </si>
  <si>
    <t>Ações de custeio para reparo, fortalecimento e ampliação da capacidade de atendimentos na APAE de São Luís- MA</t>
  </si>
  <si>
    <t>___</t>
  </si>
  <si>
    <t>____</t>
  </si>
  <si>
    <t>OBSERVAÇÕES</t>
  </si>
  <si>
    <t>O estabelecimento não enviou a documentação técnica solicitada pelo setor de engenharia para compor o plano de trabalho, desse modo o processo não seguiu a diante.</t>
  </si>
  <si>
    <t>Aquisição de reagentes para a realização de exames da Triagem
Neonatal dos nascidos vivos no Estado do Maranhão.</t>
  </si>
  <si>
    <t>011/2025</t>
  </si>
  <si>
    <t>Pagamento em cota única realizado dia 20/03/2026</t>
  </si>
  <si>
    <t>Aquisição Cadeiras de Rodas Personalizadas para usuários SUS atendidos na Associação de Pais e Amigos dos Excepcionais de São Luís- MA – APAE/ CER III.</t>
  </si>
  <si>
    <t>029/2025</t>
  </si>
  <si>
    <t>Ações de custeio para reparo, fortalecimento e aumento da capacidade de atendimento da assistencial da APAE de São Luís – MA.</t>
  </si>
  <si>
    <t>Aquisição de kits de reagentes para o processamento de exames de Testes do Pezinho da Associação de Pais e Amigos dos Excepcionais de São Luís- MA – APAE</t>
  </si>
  <si>
    <t>012/2025</t>
  </si>
  <si>
    <t>Aquisição de kits de reagentes para o processamento de exames de Testes do Pezinho da Associação de Pais e Amigos dos Excepcionais de São Luís- MA – APAE.</t>
  </si>
  <si>
    <t>026/2025</t>
  </si>
  <si>
    <t>Pagamento de serviços médicos especializados, através de nota fiscal de pessoa jurídica, contratados e exercendo seus serviços pela Fundação.</t>
  </si>
  <si>
    <t>023/2025</t>
  </si>
  <si>
    <t>O processo foi homologado e enviado para COFI para efetivação do pagamento no dia 30/03</t>
  </si>
  <si>
    <t xml:space="preserve">Aquisição de insumos hospitalares (materiais hospitalares e medicamentos básicos quimioterápicos, psicotrópicos, soros e correlatos, e medicamentos básicos). Pagamentos de honorários médicos, clínicas e laboratórios. </t>
  </si>
  <si>
    <t>018/2025</t>
  </si>
  <si>
    <t xml:space="preserve">Aquisição de insumos hospitalares (materiais hospitalares e medicamentos básicos quimioterápicos). Pagamentos de honorários médicos, clínicas e laboratórios. </t>
  </si>
  <si>
    <t>024/2025</t>
  </si>
  <si>
    <t xml:space="preserve">Aquisição de insumos hospitalares (materiais hospitalares). Pagamentos de honorários médicos, clínicas e laboratórios. </t>
  </si>
  <si>
    <t>013/2025</t>
  </si>
  <si>
    <t xml:space="preserve">Aquisição de insumos hospitalares (medicamentos). Pagamentos de honorários médicos, clínicas e laboratórios. </t>
  </si>
  <si>
    <t>021/2025</t>
  </si>
  <si>
    <t>027/2025</t>
  </si>
  <si>
    <t>014/2025</t>
  </si>
  <si>
    <t>025/2025</t>
  </si>
  <si>
    <t xml:space="preserve">Pagamentos de honorários médicos, clínicas e laboratórios. </t>
  </si>
  <si>
    <t>030/2025</t>
  </si>
  <si>
    <t>015/2025</t>
  </si>
  <si>
    <t>028/2025</t>
  </si>
  <si>
    <t>022/2025</t>
  </si>
  <si>
    <t>Enviado à COFI após atualização do do cronograma de desembolso do Plano de Trabalho em 30/03</t>
  </si>
  <si>
    <t>016/2025</t>
  </si>
  <si>
    <t>15901.042538/2025</t>
  </si>
  <si>
    <t>019/2025</t>
  </si>
  <si>
    <t>017/2025</t>
  </si>
  <si>
    <t>020/2025</t>
  </si>
  <si>
    <t>15901.013424/2026</t>
  </si>
  <si>
    <t>Senador Weverton</t>
  </si>
  <si>
    <t>Deputado Hildo Rocha</t>
  </si>
  <si>
    <t>15901.013431/2026</t>
  </si>
  <si>
    <t>15901.012723/2026</t>
  </si>
  <si>
    <t>Pagamento de honorários médicos, clínicas e laboratórios</t>
  </si>
  <si>
    <t>Deputado Juscelino Filho</t>
  </si>
  <si>
    <t>Deputado Márcio Honaiser</t>
  </si>
  <si>
    <t>15901.011495/2026</t>
  </si>
  <si>
    <t>Aliny Keila França Souza
Joselane de Oliveira Ribeiro
Daniella Bernardo de Menezes</t>
  </si>
  <si>
    <t>15901.011506/2026</t>
  </si>
  <si>
    <t xml:space="preserve">6º TERMO ADITIVO </t>
  </si>
  <si>
    <t>PRESTADOR SUS - CNES</t>
  </si>
  <si>
    <t xml:space="preserve">Nº DO PROCESSO  SEI </t>
  </si>
  <si>
    <t>ESPECIFICAÇÃO/OBJETO</t>
  </si>
  <si>
    <t xml:space="preserve">VIGÊNCIA </t>
  </si>
  <si>
    <t xml:space="preserve">DATA DE INÍCIO </t>
  </si>
  <si>
    <t xml:space="preserve"> </t>
  </si>
  <si>
    <t>009/2025</t>
  </si>
  <si>
    <t>008/2025</t>
  </si>
  <si>
    <t>006/2024</t>
  </si>
  <si>
    <t>15901.014161/2024</t>
  </si>
  <si>
    <t xml:space="preserve">VEREADORA CONCITA PINTO </t>
  </si>
  <si>
    <t>Jéssica Honnorina Penha Mendes                 Deliã Silva Passinho                                             Paulo Vinicius Moreira e Silva</t>
  </si>
  <si>
    <t xml:space="preserve">Aquisição de insumos hospitalares (materiais hospitalares). Pagamentos de honorários médicos, clínicas e laboratórios.                       </t>
  </si>
  <si>
    <t xml:space="preserve">Solicitação de prorrogação de prazo indeferido no processo 15901.039513/2025 - aguardando PC </t>
  </si>
  <si>
    <t>001/2025</t>
  </si>
  <si>
    <t>15901.039515/2025</t>
  </si>
  <si>
    <t xml:space="preserve">EMENDA DE BANCADA </t>
  </si>
  <si>
    <t xml:space="preserve">Juliana Campos Coelho                               Jessica Honorina Penha Mendes                       Ana Cajado Lemos de Freitas </t>
  </si>
  <si>
    <t>Aquisição de insumos hospitalares (materiais hospitalares). Pagamentos de honorários médicos, clínicas e laboratórios.                       2º TERMO ADITIVO</t>
  </si>
  <si>
    <t>Termo de Convenio com adtivo de prazo  convenio original 15901.001448/2024</t>
  </si>
  <si>
    <t>005/2025</t>
  </si>
  <si>
    <t>15901.039522/2025</t>
  </si>
  <si>
    <t xml:space="preserve">DEPUTADO FEDERAL CLEBER VERDE </t>
  </si>
  <si>
    <t>Aquisição de insumos hospitalares (materiais hospitalares). Pagamentos de honorários médicos, clínicas e laboratórios.                       1º TERMO ADITIVO</t>
  </si>
  <si>
    <t>Termo de Convenio com adtivo de prazo  convenio original 15901023409/2025</t>
  </si>
  <si>
    <t>003/2024</t>
  </si>
  <si>
    <t>15901.039503/2025</t>
  </si>
  <si>
    <t>SENADOR WEVERTON ROCHA COM EMENDA DE BACADA</t>
  </si>
  <si>
    <t xml:space="preserve">Jéssica Honnorina Penha Mendes                   Deliã Silva Passinho                                                            Yve Zabelle Araújo Berniz                              </t>
  </si>
  <si>
    <t>Aguardando prestação de Contas - prazo final  22/03/2026</t>
  </si>
  <si>
    <t>005/2024</t>
  </si>
  <si>
    <t>15901.039514/2025</t>
  </si>
  <si>
    <t xml:space="preserve">VEREADOR SÁ MARQUES </t>
  </si>
  <si>
    <t>Daniella Bernardo de Menezes                          Yve Zabelle Matias Araújo                         Paulo Vinícios Moreira e Silva</t>
  </si>
  <si>
    <t>Termo de Convenio com adtivo de prazo  - convênio original 15901.014389/2024</t>
  </si>
  <si>
    <t>SANTA MARTHA - 2308088</t>
  </si>
  <si>
    <t>SÃO FRANCISCO - 2455781</t>
  </si>
  <si>
    <t>VIDA E LIBERDADE - 2456710</t>
  </si>
  <si>
    <t>LA RAVARDIERE - 2698056</t>
  </si>
  <si>
    <t>HRO - 2530805</t>
  </si>
  <si>
    <t>HVM - HOSPITAL DA VISÃO DO MARANHÃO - 3549097</t>
  </si>
  <si>
    <t>UDI OFTALMO - 9398392</t>
  </si>
  <si>
    <t>CTR MEDICINA NUCLEAR - 0996424</t>
  </si>
  <si>
    <t>CONVÊNIO Nº</t>
  </si>
  <si>
    <t>DATA DE ASSINATURA DO TER. ADIT. VIGENTE</t>
  </si>
  <si>
    <t>VIGÊNCIA</t>
  </si>
  <si>
    <t>PORTARIA DE FISCAL DE CONTRATO</t>
  </si>
  <si>
    <t>FISCAIS</t>
  </si>
  <si>
    <t>APAE</t>
  </si>
  <si>
    <t>002/2020</t>
  </si>
  <si>
    <t>10º TERMO ADITIVO</t>
  </si>
  <si>
    <t>29/12/2025 à 29/12/2026</t>
  </si>
  <si>
    <t>Dra. Ilza Kury, Drª Ducília Mota, Angelita</t>
  </si>
  <si>
    <t>CENTRO ASSISTENCIAL ELGITHA BRANDAO</t>
  </si>
  <si>
    <t>001/2020</t>
  </si>
  <si>
    <t>6º TERMO ADITIVO</t>
  </si>
  <si>
    <t>03/03/2024 à 02/03/2025</t>
  </si>
  <si>
    <t>3414/2024 de 10/06/2025</t>
  </si>
  <si>
    <t>Dra. Ilza Kury, Deliã Passinho, Jéssica Mendes</t>
  </si>
  <si>
    <t>INSTITUTO MARANHENSE DE ONCOLOGIA ALDENORA BELO-IMOAB</t>
  </si>
  <si>
    <t>1º TERMO ADITIVO (ENFERMAGEM)</t>
  </si>
  <si>
    <t>23/10/2024 à 22/10/2025</t>
  </si>
  <si>
    <t>3414/2024 de 10/06/2026</t>
  </si>
  <si>
    <t>Dr Guilherme Ortegal, Franscisco Ribeiro,                                Angelita Caúla</t>
  </si>
  <si>
    <t>12/08/25 à 12/08/2026</t>
  </si>
  <si>
    <t xml:space="preserve">33/2023 de 30/08/2023, 29 de 22/05/24, 15 de 12/05/25, 5.820 de 04/12/24, Sup. Lei 8.666/93 de 21/06/1993 - </t>
  </si>
  <si>
    <t>SANTA CASA DE MISERICÓRDIA</t>
  </si>
  <si>
    <t>004/2019</t>
  </si>
  <si>
    <t>7º TERMO ADITIVO</t>
  </si>
  <si>
    <t>28/12/2024 à 27/12/2025</t>
  </si>
  <si>
    <t>3414/2024 de 10/06/2027</t>
  </si>
  <si>
    <t xml:space="preserve">Dª Ana Mônica, Daniella Menezes, Alfredo Ramalho </t>
  </si>
  <si>
    <t>EBSERH HOSPITAL UNIVERSITARIO DE SAO LUIS</t>
  </si>
  <si>
    <t>002/2019</t>
  </si>
  <si>
    <t>2º TERMO ADITIVO</t>
  </si>
  <si>
    <t>06/11/2023 à 06/11/2025</t>
  </si>
  <si>
    <t>CAC</t>
  </si>
  <si>
    <t>CONTRATO Nº</t>
  </si>
  <si>
    <t xml:space="preserve">DAVITA - INSTITUTO MARANHENSE DO RIM LTDA EPP </t>
  </si>
  <si>
    <t>194/2019</t>
  </si>
  <si>
    <t>10/07/20242 à 10/07/2025</t>
  </si>
  <si>
    <t>4820/2024 de 25/07/2024 - 589/2025 de 22/10/2025</t>
  </si>
  <si>
    <t>Kenya, Daniella, Pamella</t>
  </si>
  <si>
    <t>CENEFRON</t>
  </si>
  <si>
    <t>195/2019</t>
  </si>
  <si>
    <t>9º TERMO ADITIVO</t>
  </si>
  <si>
    <t>10/07/2024 à 09/07/2025</t>
  </si>
  <si>
    <t>4820/2024 de 25/07/2024 - 434/2025 DE 29/08/2025</t>
  </si>
  <si>
    <t>CLINICA DE RIM E HIPERTENSAO ARTERIAL LTDA</t>
  </si>
  <si>
    <t>218/2019</t>
  </si>
  <si>
    <t>07/08/2024 à 06/08/2025</t>
  </si>
  <si>
    <t>4820/2024 de 25/07/2024 - 436/2025 de 29/08/2025</t>
  </si>
  <si>
    <t>Kenya, Daniella, Francisco</t>
  </si>
  <si>
    <t>CTR MEDICINA NUCLEAR</t>
  </si>
  <si>
    <t>Contrato Inicial</t>
  </si>
  <si>
    <t>29/05/2024 à 28/05/2025</t>
  </si>
  <si>
    <t>2682/2024 de 09/05/2024</t>
  </si>
  <si>
    <t>Angelita, Francisco, Daniella</t>
  </si>
  <si>
    <t>CENTRO BIONUCLEAR DE DIAGNÓSTICO LTDA</t>
  </si>
  <si>
    <t>011/2024</t>
  </si>
  <si>
    <t>06/02/2024 à 05/02/2025</t>
  </si>
  <si>
    <t>4820/2024 de 25/07/2024</t>
  </si>
  <si>
    <t>Angelita, Francisco, Pamella</t>
  </si>
  <si>
    <t>HOSPITAL DA VISÃO DO MARANHÃO (OFTALMO DAY CLINIC)</t>
  </si>
  <si>
    <t>227/2020</t>
  </si>
  <si>
    <t>01/10/2024 à 30/09/2025</t>
  </si>
  <si>
    <t>Gontran, Pamella, Francisco</t>
  </si>
  <si>
    <t>UDI OFTALMO</t>
  </si>
  <si>
    <t>228/2020</t>
  </si>
  <si>
    <t>Marques, Francisco, Daniella</t>
  </si>
  <si>
    <t>HRO - HOSPITAL DE REFERENCIA OFTALMOLOGICA LTDA</t>
  </si>
  <si>
    <t>231/2020</t>
  </si>
  <si>
    <t>5º TERMO ADITIVO</t>
  </si>
  <si>
    <t>Diana, Pamella, Daniella</t>
  </si>
  <si>
    <t>OFTALMOCENTRO COHAB</t>
  </si>
  <si>
    <t>232/2020</t>
  </si>
  <si>
    <t>Bonifácio, Francisco, Angelita</t>
  </si>
  <si>
    <t>Estabelecimentos CNES-MA / INDENIZATÓRIOS</t>
  </si>
  <si>
    <t>CLINICA LA RAVARDIERE</t>
  </si>
  <si>
    <t>CLINICA SANTA MARTHA</t>
  </si>
  <si>
    <t>CLINICA SÃO FRANCISCO</t>
  </si>
  <si>
    <t>HOSPITAL DIA VIDA E LIBERDADE</t>
  </si>
  <si>
    <t>LABORATÓRIO CENTROLAB</t>
  </si>
  <si>
    <t>CTR TOMOGRAFIAS</t>
  </si>
  <si>
    <t>MEMBROS DA CAC</t>
  </si>
  <si>
    <t>Tayara Costa Pereira, Ana Tamires Jardim, Juliana Campos Coelho, Francisco Antônio Ribeiro da Silva, Tuane Thayse Vieira Garreto, Paulo Vinicius Moreira e Silva, Ana Cajado, Jessica Honnorina Penha Mendes.</t>
  </si>
  <si>
    <t>Tayara Costa Pereira, Taurina de Jesus Mendes Silva, Ana Paula Corrêa Moraes, Daniella Bernardo de Menezes, Ruy Barbosa Moreira Sobrinho, Rafaele Rejane Costa de Almeida Azevedo.</t>
  </si>
  <si>
    <t>INDENIZATÓRIOS</t>
  </si>
  <si>
    <t>MÉDIA DE VALOR POR MÊS</t>
  </si>
  <si>
    <t>ÚLTIMO PERÍODO VIGENTE</t>
  </si>
  <si>
    <t>Prestação de serviços de internação hospitalar em regime integral às pessoas com sofrimento ou transtorno mental e com necessidades deocrrentes do uso de álcool, crack e outras drogas</t>
  </si>
  <si>
    <t>__</t>
  </si>
  <si>
    <t>Prestação de serviços de OFTALMOLOGIA, para atender a demanda populacional de São Luís e municípios adscritos</t>
  </si>
  <si>
    <t>OFTALMOCENTRO - 6618839</t>
  </si>
  <si>
    <t>CTR - CIDADE OPERÁRIA (CENTRO DE CARDIOLOGIA INTENSIVA) - 9408495</t>
  </si>
  <si>
    <t>Nº 006/2025
347/2026</t>
  </si>
  <si>
    <t>15901.009672/2025</t>
  </si>
  <si>
    <t>Prestação do serviços de Exames laboratoriais de análises clínicas, para atender as demandas assistenciais de saúde das pacientes cadastradas no programa Rede Alyne e ambulatoriais dos usuários dos serviços da Rede Municipal de Saúde regulados pela Superintendência de Controle, Regulação, Avaliação e Auditoria – SCRAA</t>
  </si>
  <si>
    <t>LABORATÓRIO CEDRO - 2458241</t>
  </si>
  <si>
    <t>Nº 006/2025
346/2026</t>
  </si>
  <si>
    <t>CETROLAB - CENTRO LABORATORIAL DE ANÁLISES CLÍNICAS LTDA - 2458365</t>
  </si>
  <si>
    <t>Nº 006/2025
348/2026</t>
  </si>
  <si>
    <t>Atualizado em:</t>
  </si>
  <si>
    <t>Ordem bancária emitida em 02/04/2026</t>
  </si>
  <si>
    <t>Correção do cronograma do Plano de Trabalho e envio para COFI para prosseguimento</t>
  </si>
  <si>
    <t>Ordem bancária  em  01/12/2025</t>
  </si>
  <si>
    <t>Encaminhado para a SPAAS para análise e verificação de disponibilidade orçamentária</t>
  </si>
  <si>
    <t>Enviado à SPAAS para análise e conhecimento e à SOFIC para elaboração de Minuta de Termo de Convênio</t>
  </si>
  <si>
    <t xml:space="preserve">Indicação dos servidores para Comissão de Convênios </t>
  </si>
  <si>
    <t>CTR Tomografia</t>
  </si>
  <si>
    <t>Tayara Costa Pereira, Juliana Campos Coelho, José Ribamar Balby Neto (suplentes: Giseuda Vieira Braz,  Jessica Honnorina Penha Mendes,  Pollyana Almeida Paulo da Silva). José Generoso da Silva, Danielle Maya Fontes Martins (suplentes: Cibele Simões da Silva, Wandglaucy Oliveira Pestana). José Antônio Doria Silva (suplente: Higor Oliveira Alhadef)</t>
  </si>
  <si>
    <t>Tayara Costa Pereira (suplente: Tuane Thayse Vieira Garreto). Maria Georgina Foreliza de Assis (José Gomes da Silva). Igor Victor de Melo Otaviano (Roseane Lustosa de Santana Lira)</t>
  </si>
  <si>
    <t>Tayara Costa Pereira (João de Deus da Costa Leite júnior). José Antônio da Silva (Tadeu de Ribamar Chaves). Shaeny Cristina de Menezes Mota (Emanuele Garcia Costa Marques de Paulo).</t>
  </si>
  <si>
    <t>CTR - MEDICINA NUCLEAR (CENTRO DE CARDIOLOGIA INVASIVA) - 996424</t>
  </si>
  <si>
    <t xml:space="preserve">2º TERMO ADITIVO </t>
  </si>
  <si>
    <t>15901.005526/2026</t>
  </si>
  <si>
    <t>Prestar serviços de apoio diagnóstico terapêutico e assistência médica especializada na área de MEDICINA NUCLEAR IN VIVO em adultos e crianças</t>
  </si>
  <si>
    <t>PMAE</t>
  </si>
  <si>
    <t xml:space="preserve"> LABORATÓRIO CEDRO LTDA - 2458241</t>
  </si>
  <si>
    <t>Nº 003/2022 
Nº 162/2024</t>
  </si>
  <si>
    <t xml:space="preserve"> Nº 007/2025
Nº 264/2026</t>
  </si>
  <si>
    <t>15901.016562/2025</t>
  </si>
  <si>
    <t xml:space="preserve"> Nº 005/2025
Nº 350/2026</t>
  </si>
  <si>
    <t>INSTITUTO PARA O PROGRESSO HUMANO, ECONÔMINCO E AMBIENTAL – IPHEA - 4193520</t>
  </si>
  <si>
    <t>15901.016277/2025</t>
  </si>
  <si>
    <t>Prestação de Serviços de Exames Laboratoriais de Anatomia Patológica e Citopatológica das Ofertas de Cuidados Integrados (OCIS) de Oncologia para atender as diretrizes do Programa Nacional de Expansão e Qualificação da Atenção Ambulatorial Especializada e do Programa Mais Acesso a Especialistas – PMAE</t>
  </si>
  <si>
    <t xml:space="preserve"> Nº 005/2025
Nº 351/2026</t>
  </si>
  <si>
    <t>Prestação de serviços ambulatoriais especializados eletivos em oftalmologia, denominados Ofertas de Cuidados Integrados, previstos na Política Nacional da Atenção Especializada em Saúde - PNAES</t>
  </si>
  <si>
    <t>CLÍNICA VISIONAR/VIDA &amp; SAÚDE  - 0498084</t>
  </si>
  <si>
    <t xml:space="preserve"> Nº 005/2025
Nº 352/2026</t>
  </si>
  <si>
    <t xml:space="preserve">  INSTITUTO MARANHENSE DE OFTALMOLOGIA - IMO - 9398392</t>
  </si>
  <si>
    <t xml:space="preserve"> Nº 005/2025
Nº 353/2026</t>
  </si>
  <si>
    <t>OFTALMOCENTRO COHAB - 6618839</t>
  </si>
  <si>
    <t>INSTITUTO DA VISÃO LTDA - 5896290</t>
  </si>
  <si>
    <t xml:space="preserve"> Nº 005/2025
Nº 354/2026</t>
  </si>
  <si>
    <t>HOSPITAL DE REFERÊNCIA OFTALMOLÓGICA - HRO - 4801407</t>
  </si>
  <si>
    <t xml:space="preserve"> Nº 005/2025
Nº 369/2026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</si>
</sst>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$&quot;\ * #,##0.00_-;\-&quot;R$&quot;\ * #,##0.00_-;_-&quot;R$&quot;\ * &quot;-&quot;??_-;_-@_-"/>
  </numFmts>
  <fonts count="1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indexed="81"/>
      <name val="Segoe UI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  <font>
      <sz val="11"/>
      <name val="Calibri"/>
      <family val="2"/>
      <scheme val="minor"/>
    </font>
    <font>
      <sz val="12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700000"/>
        <bgColor indexed="64"/>
      </patternFill>
    </fill>
    <fill>
      <patternFill patternType="solid">
        <fgColor theme="7" tint="-0.249977111117893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164" fontId="3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</cellStyleXfs>
  <cellXfs count="114">
    <xf numFmtId="0" fontId="0" fillId="0" borderId="0" xfId="0"/>
    <xf numFmtId="0" fontId="5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14" fontId="4" fillId="0" borderId="1" xfId="0" applyNumberFormat="1" applyFont="1" applyFill="1" applyBorder="1" applyAlignment="1">
      <alignment horizontal="center" vertical="center" wrapText="1"/>
    </xf>
    <xf numFmtId="164" fontId="4" fillId="0" borderId="1" xfId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wrapText="1"/>
    </xf>
    <xf numFmtId="0" fontId="4" fillId="0" borderId="0" xfId="0" applyFont="1" applyFill="1" applyAlignment="1">
      <alignment wrapText="1"/>
    </xf>
    <xf numFmtId="3" fontId="4" fillId="0" borderId="1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4" fillId="0" borderId="1" xfId="1" applyNumberFormat="1" applyFont="1" applyFill="1" applyBorder="1" applyAlignment="1">
      <alignment horizontal="center" vertical="center" wrapText="1"/>
    </xf>
    <xf numFmtId="14" fontId="4" fillId="0" borderId="1" xfId="1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 wrapText="1"/>
    </xf>
    <xf numFmtId="0" fontId="5" fillId="0" borderId="1" xfId="2" applyFont="1" applyBorder="1" applyAlignment="1">
      <alignment horizontal="center" vertical="center" wrapText="1"/>
    </xf>
    <xf numFmtId="0" fontId="4" fillId="0" borderId="1" xfId="2" applyFont="1" applyBorder="1" applyAlignment="1">
      <alignment horizontal="center" vertical="center" wrapText="1"/>
    </xf>
    <xf numFmtId="14" fontId="4" fillId="0" borderId="1" xfId="2" applyNumberFormat="1" applyFont="1" applyBorder="1" applyAlignment="1">
      <alignment horizontal="center" vertical="center" wrapText="1"/>
    </xf>
    <xf numFmtId="14" fontId="4" fillId="0" borderId="1" xfId="3" applyNumberFormat="1" applyFont="1" applyFill="1" applyBorder="1" applyAlignment="1">
      <alignment horizontal="center" vertical="center" wrapText="1"/>
    </xf>
    <xf numFmtId="164" fontId="4" fillId="0" borderId="1" xfId="3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8" fillId="5" borderId="10" xfId="0" applyFont="1" applyFill="1" applyBorder="1" applyAlignment="1">
      <alignment horizontal="center" vertical="center" wrapText="1"/>
    </xf>
    <xf numFmtId="0" fontId="8" fillId="5" borderId="11" xfId="0" applyFont="1" applyFill="1" applyBorder="1" applyAlignment="1">
      <alignment horizontal="center" vertical="center" wrapText="1"/>
    </xf>
    <xf numFmtId="0" fontId="8" fillId="5" borderId="12" xfId="0" applyFont="1" applyFill="1" applyBorder="1" applyAlignment="1">
      <alignment horizontal="center" vertical="center" wrapText="1"/>
    </xf>
    <xf numFmtId="0" fontId="9" fillId="6" borderId="13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14" fontId="0" fillId="5" borderId="1" xfId="0" applyNumberFormat="1" applyFill="1" applyBorder="1" applyAlignment="1">
      <alignment horizontal="center" vertical="center" wrapText="1"/>
    </xf>
    <xf numFmtId="14" fontId="1" fillId="5" borderId="1" xfId="0" applyNumberFormat="1" applyFont="1" applyFill="1" applyBorder="1" applyAlignment="1">
      <alignment horizontal="center" vertical="center" wrapText="1"/>
    </xf>
    <xf numFmtId="0" fontId="1" fillId="5" borderId="14" xfId="0" applyFont="1" applyFill="1" applyBorder="1" applyAlignment="1">
      <alignment horizontal="left" vertical="center"/>
    </xf>
    <xf numFmtId="0" fontId="9" fillId="5" borderId="13" xfId="0" applyFont="1" applyFill="1" applyBorder="1" applyAlignment="1">
      <alignment horizontal="center" vertical="center"/>
    </xf>
    <xf numFmtId="0" fontId="0" fillId="5" borderId="14" xfId="0" applyFill="1" applyBorder="1" applyAlignment="1">
      <alignment horizontal="left" vertical="center"/>
    </xf>
    <xf numFmtId="0" fontId="9" fillId="7" borderId="15" xfId="0" applyFont="1" applyFill="1" applyBorder="1" applyAlignment="1">
      <alignment horizontal="center" vertical="center"/>
    </xf>
    <xf numFmtId="0" fontId="9" fillId="7" borderId="16" xfId="0" applyFont="1" applyFill="1" applyBorder="1" applyAlignment="1">
      <alignment horizontal="center" vertical="center" wrapText="1"/>
    </xf>
    <xf numFmtId="0" fontId="0" fillId="7" borderId="16" xfId="0" applyFill="1" applyBorder="1" applyAlignment="1">
      <alignment horizontal="center" vertical="center" wrapText="1"/>
    </xf>
    <xf numFmtId="14" fontId="0" fillId="7" borderId="16" xfId="0" applyNumberFormat="1" applyFill="1" applyBorder="1" applyAlignment="1">
      <alignment horizontal="center" vertical="center" wrapText="1"/>
    </xf>
    <xf numFmtId="17" fontId="1" fillId="7" borderId="16" xfId="0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left"/>
    </xf>
    <xf numFmtId="0" fontId="9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14" fontId="0" fillId="7" borderId="1" xfId="0" applyNumberFormat="1" applyFill="1" applyBorder="1" applyAlignment="1">
      <alignment horizontal="center" vertical="center" wrapText="1"/>
    </xf>
    <xf numFmtId="14" fontId="1" fillId="7" borderId="1" xfId="0" applyNumberFormat="1" applyFont="1" applyFill="1" applyBorder="1" applyAlignment="1">
      <alignment horizontal="center" vertical="center" wrapText="1"/>
    </xf>
    <xf numFmtId="0" fontId="1" fillId="7" borderId="14" xfId="0" applyFont="1" applyFill="1" applyBorder="1" applyAlignment="1">
      <alignment horizontal="left" vertical="center"/>
    </xf>
    <xf numFmtId="0" fontId="1" fillId="5" borderId="14" xfId="0" applyFont="1" applyFill="1" applyBorder="1" applyAlignment="1">
      <alignment horizontal="left" vertical="center" wrapText="1"/>
    </xf>
    <xf numFmtId="0" fontId="9" fillId="7" borderId="13" xfId="0" applyFont="1" applyFill="1" applyBorder="1" applyAlignment="1">
      <alignment horizontal="center" vertical="center"/>
    </xf>
    <xf numFmtId="14" fontId="0" fillId="5" borderId="4" xfId="0" applyNumberFormat="1" applyFill="1" applyBorder="1" applyAlignment="1">
      <alignment horizontal="center" vertical="center" wrapText="1"/>
    </xf>
    <xf numFmtId="164" fontId="1" fillId="5" borderId="4" xfId="1" applyFont="1" applyFill="1" applyBorder="1" applyAlignment="1">
      <alignment horizontal="center" vertical="center" wrapText="1"/>
    </xf>
    <xf numFmtId="164" fontId="1" fillId="5" borderId="1" xfId="1" applyFont="1" applyFill="1" applyBorder="1" applyAlignment="1">
      <alignment horizontal="center" vertical="center" wrapText="1"/>
    </xf>
    <xf numFmtId="0" fontId="9" fillId="5" borderId="15" xfId="0" applyFont="1" applyFill="1" applyBorder="1" applyAlignment="1">
      <alignment horizontal="center" vertical="center"/>
    </xf>
    <xf numFmtId="0" fontId="9" fillId="5" borderId="16" xfId="0" applyFont="1" applyFill="1" applyBorder="1" applyAlignment="1">
      <alignment horizontal="center" vertical="center" wrapText="1"/>
    </xf>
    <xf numFmtId="0" fontId="1" fillId="5" borderId="16" xfId="0" applyFont="1" applyFill="1" applyBorder="1" applyAlignment="1">
      <alignment horizontal="center" vertical="center" wrapText="1"/>
    </xf>
    <xf numFmtId="14" fontId="0" fillId="5" borderId="19" xfId="0" applyNumberFormat="1" applyFill="1" applyBorder="1" applyAlignment="1">
      <alignment horizontal="center" vertical="center" wrapText="1"/>
    </xf>
    <xf numFmtId="164" fontId="1" fillId="5" borderId="19" xfId="1" applyFont="1" applyFill="1" applyBorder="1" applyAlignment="1">
      <alignment horizontal="center" vertical="center" wrapText="1"/>
    </xf>
    <xf numFmtId="0" fontId="1" fillId="5" borderId="20" xfId="0" applyFont="1" applyFill="1" applyBorder="1" applyAlignment="1">
      <alignment horizontal="left" vertical="center" wrapText="1"/>
    </xf>
    <xf numFmtId="0" fontId="8" fillId="0" borderId="0" xfId="0" applyFont="1" applyAlignment="1">
      <alignment horizontal="center" vertical="center"/>
    </xf>
    <xf numFmtId="0" fontId="1" fillId="0" borderId="0" xfId="0" applyFont="1"/>
    <xf numFmtId="0" fontId="8" fillId="5" borderId="22" xfId="0" applyFont="1" applyFill="1" applyBorder="1" applyAlignment="1">
      <alignment horizontal="left"/>
    </xf>
    <xf numFmtId="0" fontId="8" fillId="0" borderId="0" xfId="0" applyFont="1" applyAlignment="1">
      <alignment horizontal="left"/>
    </xf>
    <xf numFmtId="0" fontId="9" fillId="5" borderId="23" xfId="0" applyFont="1" applyFill="1" applyBorder="1" applyAlignment="1">
      <alignment horizontal="left"/>
    </xf>
    <xf numFmtId="0" fontId="1" fillId="7" borderId="14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164" fontId="6" fillId="8" borderId="1" xfId="1" applyFont="1" applyFill="1" applyBorder="1" applyAlignment="1">
      <alignment horizontal="center" vertical="center" wrapText="1"/>
    </xf>
    <xf numFmtId="14" fontId="6" fillId="8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14" fontId="0" fillId="0" borderId="0" xfId="0" applyNumberFormat="1"/>
    <xf numFmtId="14" fontId="5" fillId="0" borderId="1" xfId="2" applyNumberFormat="1" applyFont="1" applyBorder="1" applyAlignment="1">
      <alignment horizontal="center" vertical="center" wrapText="1"/>
    </xf>
    <xf numFmtId="14" fontId="5" fillId="0" borderId="1" xfId="3" applyNumberFormat="1" applyFont="1" applyFill="1" applyBorder="1" applyAlignment="1">
      <alignment horizontal="center" vertical="center" wrapText="1"/>
    </xf>
    <xf numFmtId="3" fontId="5" fillId="0" borderId="1" xfId="0" applyNumberFormat="1" applyFont="1" applyFill="1" applyBorder="1" applyAlignment="1">
      <alignment horizontal="center" vertical="center" wrapText="1"/>
    </xf>
    <xf numFmtId="164" fontId="5" fillId="0" borderId="1" xfId="3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wrapText="1"/>
    </xf>
    <xf numFmtId="14" fontId="5" fillId="0" borderId="1" xfId="0" applyNumberFormat="1" applyFont="1" applyBorder="1" applyAlignment="1">
      <alignment horizontal="center" vertical="center" wrapText="1"/>
    </xf>
    <xf numFmtId="164" fontId="5" fillId="0" borderId="1" xfId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wrapText="1"/>
    </xf>
    <xf numFmtId="0" fontId="13" fillId="0" borderId="1" xfId="0" applyFont="1" applyBorder="1" applyAlignment="1">
      <alignment horizontal="center" vertical="center" wrapText="1"/>
    </xf>
    <xf numFmtId="164" fontId="4" fillId="0" borderId="0" xfId="1" applyFont="1" applyAlignment="1">
      <alignment wrapText="1"/>
    </xf>
    <xf numFmtId="0" fontId="6" fillId="4" borderId="4" xfId="0" applyFont="1" applyFill="1" applyBorder="1" applyAlignment="1">
      <alignment horizontal="center" vertical="center" wrapText="1"/>
    </xf>
    <xf numFmtId="0" fontId="1" fillId="7" borderId="17" xfId="0" applyFont="1" applyFill="1" applyBorder="1" applyAlignment="1">
      <alignment horizontal="center" vertical="center"/>
    </xf>
    <xf numFmtId="0" fontId="1" fillId="7" borderId="18" xfId="0" applyFont="1" applyFill="1" applyBorder="1" applyAlignment="1">
      <alignment horizontal="center" vertical="center"/>
    </xf>
    <xf numFmtId="0" fontId="8" fillId="5" borderId="21" xfId="0" applyFont="1" applyFill="1" applyBorder="1" applyAlignment="1">
      <alignment horizontal="center" vertical="center"/>
    </xf>
    <xf numFmtId="0" fontId="8" fillId="5" borderId="22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textRotation="90" wrapText="1"/>
    </xf>
    <xf numFmtId="0" fontId="6" fillId="4" borderId="8" xfId="0" applyFont="1" applyFill="1" applyBorder="1" applyAlignment="1">
      <alignment horizontal="center" vertical="center" textRotation="90" wrapText="1"/>
    </xf>
    <xf numFmtId="0" fontId="6" fillId="4" borderId="9" xfId="0" applyFont="1" applyFill="1" applyBorder="1" applyAlignment="1">
      <alignment horizontal="center" vertical="center" textRotation="90" wrapText="1"/>
    </xf>
    <xf numFmtId="0" fontId="6" fillId="8" borderId="8" xfId="0" applyFont="1" applyFill="1" applyBorder="1" applyAlignment="1">
      <alignment horizontal="center" vertical="center" textRotation="90" wrapText="1"/>
    </xf>
    <xf numFmtId="0" fontId="6" fillId="8" borderId="9" xfId="0" applyFont="1" applyFill="1" applyBorder="1" applyAlignment="1">
      <alignment horizontal="center" vertical="center" textRotation="90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164" fontId="4" fillId="0" borderId="4" xfId="1" applyFont="1" applyFill="1" applyBorder="1" applyAlignment="1">
      <alignment horizontal="center" vertical="center" wrapText="1"/>
    </xf>
    <xf numFmtId="14" fontId="4" fillId="0" borderId="4" xfId="0" applyNumberFormat="1" applyFont="1" applyFill="1" applyBorder="1" applyAlignment="1">
      <alignment horizontal="center" vertical="center" wrapText="1"/>
    </xf>
    <xf numFmtId="3" fontId="4" fillId="0" borderId="4" xfId="0" applyNumberFormat="1" applyFont="1" applyFill="1" applyBorder="1" applyAlignment="1">
      <alignment horizontal="center" vertical="center" wrapText="1"/>
    </xf>
    <xf numFmtId="0" fontId="6" fillId="4" borderId="24" xfId="0" applyFont="1" applyFill="1" applyBorder="1" applyAlignment="1">
      <alignment horizontal="center" vertical="center" textRotation="90" wrapText="1"/>
    </xf>
    <xf numFmtId="0" fontId="6" fillId="9" borderId="4" xfId="0" applyFont="1" applyFill="1" applyBorder="1" applyAlignment="1">
      <alignment horizontal="center" vertical="center" textRotation="90" wrapText="1"/>
    </xf>
    <xf numFmtId="0" fontId="6" fillId="9" borderId="5" xfId="0" applyFont="1" applyFill="1" applyBorder="1" applyAlignment="1">
      <alignment horizontal="center" vertical="center" textRotation="90" wrapText="1"/>
    </xf>
    <xf numFmtId="0" fontId="6" fillId="9" borderId="6" xfId="0" applyFont="1" applyFill="1" applyBorder="1" applyAlignment="1">
      <alignment horizontal="center" vertical="center" textRotation="90" wrapText="1"/>
    </xf>
    <xf numFmtId="0" fontId="6" fillId="9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4">
    <cellStyle name="Moeda" xfId="1" builtinId="4"/>
    <cellStyle name="Moeda 2" xfId="3" xr:uid="{00000000-0005-0000-0000-000001000000}"/>
    <cellStyle name="Normal" xfId="0" builtinId="0"/>
    <cellStyle name="Normal 2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7"/>
  <sheetViews>
    <sheetView workbookViewId="0">
      <selection activeCell="C11" sqref="C11"/>
    </sheetView>
  </sheetViews>
  <sheetFormatPr defaultRowHeight="15"/>
  <cols>
    <col min="1" max="1" width="49.7109375" customWidth="1"/>
    <col min="2" max="2" width="16.85546875" customWidth="1"/>
    <col min="3" max="3" width="22.140625" customWidth="1"/>
    <col min="4" max="4" width="19.7109375" customWidth="1"/>
    <col min="5" max="5" width="21.5703125" customWidth="1"/>
    <col min="6" max="6" width="23.28515625" customWidth="1"/>
    <col min="7" max="7" width="48.140625" customWidth="1"/>
  </cols>
  <sheetData>
    <row r="1" spans="1:7" ht="45">
      <c r="A1" s="21" t="s">
        <v>0</v>
      </c>
      <c r="B1" s="22" t="s">
        <v>198</v>
      </c>
      <c r="C1" s="22" t="s">
        <v>1</v>
      </c>
      <c r="D1" s="22" t="s">
        <v>199</v>
      </c>
      <c r="E1" s="22" t="s">
        <v>200</v>
      </c>
      <c r="F1" s="22" t="s">
        <v>201</v>
      </c>
      <c r="G1" s="23" t="s">
        <v>202</v>
      </c>
    </row>
    <row r="2" spans="1:7" ht="30">
      <c r="A2" s="24" t="s">
        <v>203</v>
      </c>
      <c r="B2" s="25" t="s">
        <v>204</v>
      </c>
      <c r="C2" s="26" t="s">
        <v>205</v>
      </c>
      <c r="D2" s="27">
        <v>46020</v>
      </c>
      <c r="E2" s="28" t="s">
        <v>206</v>
      </c>
      <c r="F2" s="26"/>
      <c r="G2" s="29" t="s">
        <v>207</v>
      </c>
    </row>
    <row r="3" spans="1:7" ht="30">
      <c r="A3" s="30" t="s">
        <v>208</v>
      </c>
      <c r="B3" s="25" t="s">
        <v>209</v>
      </c>
      <c r="C3" s="26" t="s">
        <v>210</v>
      </c>
      <c r="D3" s="27">
        <v>45351</v>
      </c>
      <c r="E3" s="28" t="s">
        <v>211</v>
      </c>
      <c r="F3" s="26" t="s">
        <v>212</v>
      </c>
      <c r="G3" s="31" t="s">
        <v>213</v>
      </c>
    </row>
    <row r="4" spans="1:7" ht="30">
      <c r="A4" s="47" t="s">
        <v>214</v>
      </c>
      <c r="B4" s="41" t="s">
        <v>2</v>
      </c>
      <c r="C4" s="42" t="s">
        <v>215</v>
      </c>
      <c r="D4" s="43">
        <v>45222</v>
      </c>
      <c r="E4" s="44" t="s">
        <v>216</v>
      </c>
      <c r="F4" s="42" t="s">
        <v>217</v>
      </c>
      <c r="G4" s="62" t="s">
        <v>218</v>
      </c>
    </row>
    <row r="5" spans="1:7" ht="75">
      <c r="A5" s="47" t="s">
        <v>214</v>
      </c>
      <c r="B5" s="41" t="s">
        <v>2</v>
      </c>
      <c r="C5" s="42" t="s">
        <v>210</v>
      </c>
      <c r="D5" s="43">
        <v>45881</v>
      </c>
      <c r="E5" s="44" t="s">
        <v>219</v>
      </c>
      <c r="F5" s="42" t="s">
        <v>220</v>
      </c>
      <c r="G5" s="62"/>
    </row>
    <row r="6" spans="1:7" ht="30">
      <c r="A6" s="30" t="s">
        <v>221</v>
      </c>
      <c r="B6" s="25" t="s">
        <v>222</v>
      </c>
      <c r="C6" s="26" t="s">
        <v>223</v>
      </c>
      <c r="D6" s="27">
        <v>45642</v>
      </c>
      <c r="E6" s="26" t="s">
        <v>224</v>
      </c>
      <c r="F6" s="26" t="s">
        <v>225</v>
      </c>
      <c r="G6" s="29" t="s">
        <v>226</v>
      </c>
    </row>
    <row r="7" spans="1:7" ht="30.75" thickBot="1">
      <c r="A7" s="32" t="s">
        <v>227</v>
      </c>
      <c r="B7" s="33" t="s">
        <v>228</v>
      </c>
      <c r="C7" s="34" t="s">
        <v>229</v>
      </c>
      <c r="D7" s="35">
        <v>45236</v>
      </c>
      <c r="E7" s="36" t="s">
        <v>230</v>
      </c>
      <c r="F7" s="83" t="s">
        <v>231</v>
      </c>
      <c r="G7" s="84"/>
    </row>
    <row r="8" spans="1:7" ht="15.75" thickBot="1">
      <c r="A8" s="37"/>
      <c r="B8" s="38"/>
      <c r="C8" s="39"/>
      <c r="D8" s="40"/>
      <c r="E8" s="39"/>
    </row>
    <row r="9" spans="1:7" ht="45">
      <c r="A9" s="21" t="s">
        <v>0</v>
      </c>
      <c r="B9" s="22" t="s">
        <v>232</v>
      </c>
      <c r="C9" s="22" t="s">
        <v>1</v>
      </c>
      <c r="D9" s="22" t="s">
        <v>199</v>
      </c>
      <c r="E9" s="22" t="s">
        <v>200</v>
      </c>
      <c r="F9" s="22" t="s">
        <v>201</v>
      </c>
      <c r="G9" s="23" t="s">
        <v>202</v>
      </c>
    </row>
    <row r="10" spans="1:7" ht="30">
      <c r="A10" s="24" t="s">
        <v>233</v>
      </c>
      <c r="B10" s="25" t="s">
        <v>234</v>
      </c>
      <c r="C10" s="26" t="s">
        <v>223</v>
      </c>
      <c r="D10" s="27">
        <v>45117</v>
      </c>
      <c r="E10" s="28" t="s">
        <v>235</v>
      </c>
      <c r="F10" s="26" t="s">
        <v>236</v>
      </c>
      <c r="G10" s="29" t="s">
        <v>237</v>
      </c>
    </row>
    <row r="11" spans="1:7" ht="30">
      <c r="A11" s="24" t="s">
        <v>238</v>
      </c>
      <c r="B11" s="41" t="s">
        <v>239</v>
      </c>
      <c r="C11" s="42" t="s">
        <v>240</v>
      </c>
      <c r="D11" s="43">
        <v>45483</v>
      </c>
      <c r="E11" s="44" t="s">
        <v>241</v>
      </c>
      <c r="F11" s="42" t="s">
        <v>242</v>
      </c>
      <c r="G11" s="45" t="s">
        <v>237</v>
      </c>
    </row>
    <row r="12" spans="1:7" ht="30">
      <c r="A12" s="24" t="s">
        <v>243</v>
      </c>
      <c r="B12" s="25" t="s">
        <v>244</v>
      </c>
      <c r="C12" s="26" t="s">
        <v>223</v>
      </c>
      <c r="D12" s="27">
        <v>45142</v>
      </c>
      <c r="E12" s="26" t="s">
        <v>245</v>
      </c>
      <c r="F12" s="26" t="s">
        <v>246</v>
      </c>
      <c r="G12" s="29" t="s">
        <v>247</v>
      </c>
    </row>
    <row r="13" spans="1:7" ht="30">
      <c r="A13" s="30" t="s">
        <v>248</v>
      </c>
      <c r="B13" s="25" t="s">
        <v>3</v>
      </c>
      <c r="C13" s="26" t="s">
        <v>249</v>
      </c>
      <c r="D13" s="27">
        <v>45441</v>
      </c>
      <c r="E13" s="26" t="s">
        <v>250</v>
      </c>
      <c r="F13" s="26" t="s">
        <v>251</v>
      </c>
      <c r="G13" s="46" t="s">
        <v>252</v>
      </c>
    </row>
    <row r="14" spans="1:7" ht="30">
      <c r="A14" s="47" t="s">
        <v>253</v>
      </c>
      <c r="B14" s="25" t="s">
        <v>254</v>
      </c>
      <c r="C14" s="26" t="s">
        <v>249</v>
      </c>
      <c r="D14" s="27">
        <v>45328</v>
      </c>
      <c r="E14" s="26" t="s">
        <v>255</v>
      </c>
      <c r="F14" s="26" t="s">
        <v>256</v>
      </c>
      <c r="G14" s="46" t="s">
        <v>257</v>
      </c>
    </row>
    <row r="15" spans="1:7" ht="30">
      <c r="A15" s="30" t="s">
        <v>258</v>
      </c>
      <c r="B15" s="25" t="s">
        <v>259</v>
      </c>
      <c r="C15" s="26" t="s">
        <v>210</v>
      </c>
      <c r="D15" s="48">
        <v>45197</v>
      </c>
      <c r="E15" s="49" t="s">
        <v>260</v>
      </c>
      <c r="F15" s="26" t="s">
        <v>256</v>
      </c>
      <c r="G15" s="46" t="s">
        <v>261</v>
      </c>
    </row>
    <row r="16" spans="1:7" ht="30">
      <c r="A16" s="30" t="s">
        <v>262</v>
      </c>
      <c r="B16" s="25" t="s">
        <v>263</v>
      </c>
      <c r="C16" s="26" t="s">
        <v>210</v>
      </c>
      <c r="D16" s="27">
        <v>44831</v>
      </c>
      <c r="E16" s="50" t="s">
        <v>260</v>
      </c>
      <c r="F16" s="26" t="s">
        <v>256</v>
      </c>
      <c r="G16" s="46" t="s">
        <v>264</v>
      </c>
    </row>
    <row r="17" spans="1:7" ht="30">
      <c r="A17" s="30" t="s">
        <v>265</v>
      </c>
      <c r="B17" s="25" t="s">
        <v>266</v>
      </c>
      <c r="C17" s="26" t="s">
        <v>267</v>
      </c>
      <c r="D17" s="27">
        <v>44823</v>
      </c>
      <c r="E17" s="50" t="s">
        <v>260</v>
      </c>
      <c r="F17" s="26" t="s">
        <v>256</v>
      </c>
      <c r="G17" s="46" t="s">
        <v>268</v>
      </c>
    </row>
    <row r="18" spans="1:7" ht="30.75" thickBot="1">
      <c r="A18" s="51" t="s">
        <v>269</v>
      </c>
      <c r="B18" s="52" t="s">
        <v>270</v>
      </c>
      <c r="C18" s="53" t="s">
        <v>223</v>
      </c>
      <c r="D18" s="54">
        <v>45197</v>
      </c>
      <c r="E18" s="55" t="s">
        <v>260</v>
      </c>
      <c r="F18" s="53" t="s">
        <v>256</v>
      </c>
      <c r="G18" s="56" t="s">
        <v>271</v>
      </c>
    </row>
    <row r="19" spans="1:7" ht="15.75" thickBot="1"/>
    <row r="20" spans="1:7">
      <c r="A20" s="85" t="s">
        <v>272</v>
      </c>
      <c r="B20" s="57"/>
      <c r="D20" s="58" t="s">
        <v>160</v>
      </c>
    </row>
    <row r="21" spans="1:7">
      <c r="A21" s="86"/>
      <c r="B21" s="57"/>
    </row>
    <row r="22" spans="1:7">
      <c r="A22" s="59" t="s">
        <v>273</v>
      </c>
      <c r="B22" s="60"/>
    </row>
    <row r="23" spans="1:7">
      <c r="A23" s="59" t="s">
        <v>274</v>
      </c>
      <c r="B23" s="60"/>
    </row>
    <row r="24" spans="1:7">
      <c r="A24" s="59" t="s">
        <v>275</v>
      </c>
      <c r="B24" s="60"/>
    </row>
    <row r="25" spans="1:7">
      <c r="A25" s="59" t="s">
        <v>276</v>
      </c>
      <c r="B25" s="60"/>
    </row>
    <row r="26" spans="1:7">
      <c r="A26" s="59" t="s">
        <v>277</v>
      </c>
      <c r="B26" s="60"/>
    </row>
    <row r="27" spans="1:7" ht="15.75" thickBot="1">
      <c r="A27" s="61" t="s">
        <v>278</v>
      </c>
    </row>
  </sheetData>
  <mergeCells count="2">
    <mergeCell ref="F7:G7"/>
    <mergeCell ref="A20:A21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20"/>
  <sheetViews>
    <sheetView tabSelected="1" showWhiteSpace="0" zoomScaleNormal="100" zoomScalePageLayoutView="80" workbookViewId="0">
      <selection activeCell="G20" sqref="G20"/>
    </sheetView>
  </sheetViews>
  <sheetFormatPr defaultColWidth="9" defaultRowHeight="15.75"/>
  <cols>
    <col min="1" max="1" width="9" style="6"/>
    <col min="2" max="2" width="48" style="7" customWidth="1"/>
    <col min="3" max="3" width="20.5703125" style="7" customWidth="1"/>
    <col min="4" max="4" width="25.7109375" style="7" customWidth="1"/>
    <col min="5" max="5" width="29.28515625" style="7" customWidth="1"/>
    <col min="6" max="6" width="71.140625" style="7" customWidth="1"/>
    <col min="7" max="7" width="73.42578125" style="7" customWidth="1"/>
    <col min="8" max="8" width="23.5703125" style="7" customWidth="1"/>
    <col min="9" max="9" width="25.140625" style="7" customWidth="1"/>
    <col min="10" max="11" width="17.85546875" style="7" customWidth="1"/>
    <col min="12" max="12" width="15" style="7" customWidth="1"/>
    <col min="13" max="13" width="61.28515625" style="7" customWidth="1"/>
    <col min="14" max="14" width="9" style="6"/>
    <col min="15" max="15" width="14.5703125" style="6" customWidth="1"/>
    <col min="16" max="16" width="12.85546875" style="6" customWidth="1"/>
    <col min="17" max="16384" width="9" style="6"/>
  </cols>
  <sheetData>
    <row r="1" spans="1:16" ht="61.5" customHeight="1">
      <c r="A1" s="87" t="s">
        <v>0</v>
      </c>
      <c r="B1" s="87"/>
      <c r="C1" s="5" t="s">
        <v>43</v>
      </c>
      <c r="D1" s="5" t="s">
        <v>1</v>
      </c>
      <c r="E1" s="5" t="s">
        <v>10</v>
      </c>
      <c r="F1" s="5" t="s">
        <v>9</v>
      </c>
      <c r="G1" s="63" t="s">
        <v>279</v>
      </c>
      <c r="H1" s="5" t="s">
        <v>11</v>
      </c>
      <c r="I1" s="5" t="s">
        <v>6</v>
      </c>
      <c r="J1" s="5" t="s">
        <v>4</v>
      </c>
      <c r="K1" s="5" t="s">
        <v>5</v>
      </c>
      <c r="L1" s="5" t="s">
        <v>32</v>
      </c>
      <c r="M1" s="9" t="s">
        <v>44</v>
      </c>
    </row>
    <row r="2" spans="1:16" ht="51.75" customHeight="1">
      <c r="A2" s="88" t="s">
        <v>7</v>
      </c>
      <c r="B2" s="5" t="s">
        <v>12</v>
      </c>
      <c r="C2" s="1" t="s">
        <v>20</v>
      </c>
      <c r="D2" s="2" t="s">
        <v>22</v>
      </c>
      <c r="E2" s="2" t="s">
        <v>17</v>
      </c>
      <c r="F2" s="2" t="s">
        <v>26</v>
      </c>
      <c r="G2" s="64" t="s">
        <v>307</v>
      </c>
      <c r="H2" s="2" t="s">
        <v>19</v>
      </c>
      <c r="I2" s="4">
        <v>23155993.079999998</v>
      </c>
      <c r="J2" s="3">
        <v>46084</v>
      </c>
      <c r="K2" s="3">
        <v>46448</v>
      </c>
      <c r="L2" s="8">
        <f ca="1">_xlfn.DAYS(K2, TODAY())</f>
        <v>244</v>
      </c>
      <c r="M2" s="8"/>
      <c r="O2" t="s">
        <v>297</v>
      </c>
      <c r="P2" s="71">
        <v>46204</v>
      </c>
    </row>
    <row r="3" spans="1:16" ht="51.75" customHeight="1">
      <c r="A3" s="88"/>
      <c r="B3" s="5" t="s">
        <v>13</v>
      </c>
      <c r="C3" s="1" t="s">
        <v>21</v>
      </c>
      <c r="D3" s="2" t="s">
        <v>22</v>
      </c>
      <c r="E3" s="2" t="s">
        <v>23</v>
      </c>
      <c r="F3" s="2" t="s">
        <v>26</v>
      </c>
      <c r="G3" s="64" t="s">
        <v>306</v>
      </c>
      <c r="H3" s="2" t="s">
        <v>18</v>
      </c>
      <c r="I3" s="4">
        <v>3799950.84</v>
      </c>
      <c r="J3" s="3">
        <v>46083</v>
      </c>
      <c r="K3" s="3">
        <v>46447</v>
      </c>
      <c r="L3" s="8">
        <f t="shared" ref="L3:L12" ca="1" si="0">_xlfn.DAYS(K3, TODAY())</f>
        <v>243</v>
      </c>
      <c r="M3" s="8"/>
    </row>
    <row r="4" spans="1:16" ht="87.75" customHeight="1">
      <c r="A4" s="88"/>
      <c r="B4" s="5" t="s">
        <v>14</v>
      </c>
      <c r="C4" s="1" t="s">
        <v>2</v>
      </c>
      <c r="D4" s="2" t="s">
        <v>154</v>
      </c>
      <c r="E4" s="2" t="s">
        <v>24</v>
      </c>
      <c r="F4" s="2" t="s">
        <v>25</v>
      </c>
      <c r="G4" s="64" t="s">
        <v>305</v>
      </c>
      <c r="H4" s="2" t="s">
        <v>19</v>
      </c>
      <c r="I4" s="4">
        <v>111801437.45</v>
      </c>
      <c r="J4" s="3">
        <v>45953</v>
      </c>
      <c r="K4" s="3">
        <v>46317</v>
      </c>
      <c r="L4" s="8">
        <f t="shared" ca="1" si="0"/>
        <v>113</v>
      </c>
      <c r="M4" s="8" t="s">
        <v>53</v>
      </c>
    </row>
    <row r="5" spans="1:16" ht="55.5" customHeight="1">
      <c r="A5" s="88"/>
      <c r="B5" s="5" t="s">
        <v>15</v>
      </c>
      <c r="C5" s="1" t="s">
        <v>27</v>
      </c>
      <c r="D5" s="2" t="s">
        <v>22</v>
      </c>
      <c r="E5" s="2" t="s">
        <v>29</v>
      </c>
      <c r="F5" s="2" t="s">
        <v>25</v>
      </c>
      <c r="G5" s="64" t="s">
        <v>281</v>
      </c>
      <c r="H5" s="2" t="s">
        <v>19</v>
      </c>
      <c r="I5" s="4">
        <v>24946324.559999999</v>
      </c>
      <c r="J5" s="3">
        <v>46019</v>
      </c>
      <c r="K5" s="3">
        <v>46383</v>
      </c>
      <c r="L5" s="8">
        <f t="shared" ca="1" si="0"/>
        <v>179</v>
      </c>
      <c r="M5" s="8" t="s">
        <v>52</v>
      </c>
    </row>
    <row r="6" spans="1:16" ht="54.75" customHeight="1">
      <c r="A6" s="88"/>
      <c r="B6" s="5" t="s">
        <v>16</v>
      </c>
      <c r="C6" s="1" t="s">
        <v>28</v>
      </c>
      <c r="D6" s="2" t="s">
        <v>22</v>
      </c>
      <c r="E6" s="2" t="s">
        <v>30</v>
      </c>
      <c r="F6" s="2" t="s">
        <v>31</v>
      </c>
      <c r="G6" s="64" t="s">
        <v>280</v>
      </c>
      <c r="H6" s="2" t="s">
        <v>19</v>
      </c>
      <c r="I6" s="4">
        <v>176636908.91999999</v>
      </c>
      <c r="J6" s="3">
        <v>45968</v>
      </c>
      <c r="K6" s="3">
        <v>47793</v>
      </c>
      <c r="L6" s="8">
        <f t="shared" ca="1" si="0"/>
        <v>1589</v>
      </c>
      <c r="M6" s="8"/>
    </row>
    <row r="7" spans="1:16" ht="131.25" customHeight="1">
      <c r="A7" s="89" t="s">
        <v>8</v>
      </c>
      <c r="B7" s="20" t="s">
        <v>34</v>
      </c>
      <c r="C7" s="1" t="s">
        <v>33</v>
      </c>
      <c r="D7" s="2" t="s">
        <v>22</v>
      </c>
      <c r="E7" s="2" t="s">
        <v>35</v>
      </c>
      <c r="F7" s="2" t="s">
        <v>36</v>
      </c>
      <c r="G7" s="64" t="s">
        <v>22</v>
      </c>
      <c r="H7" s="2" t="s">
        <v>37</v>
      </c>
      <c r="I7" s="4">
        <v>8484611.6400000006</v>
      </c>
      <c r="J7" s="3">
        <v>45952</v>
      </c>
      <c r="K7" s="3">
        <v>46316</v>
      </c>
      <c r="L7" s="8">
        <f t="shared" ca="1" si="0"/>
        <v>112</v>
      </c>
      <c r="M7" s="8" t="s">
        <v>54</v>
      </c>
    </row>
    <row r="8" spans="1:16" ht="117.75" customHeight="1">
      <c r="A8" s="90"/>
      <c r="B8" s="20" t="s">
        <v>38</v>
      </c>
      <c r="C8" s="1" t="s">
        <v>39</v>
      </c>
      <c r="D8" s="2" t="s">
        <v>22</v>
      </c>
      <c r="E8" s="2" t="s">
        <v>35</v>
      </c>
      <c r="F8" s="2" t="s">
        <v>36</v>
      </c>
      <c r="G8" s="64" t="s">
        <v>22</v>
      </c>
      <c r="H8" s="2" t="s">
        <v>37</v>
      </c>
      <c r="I8" s="4">
        <v>17308726.82</v>
      </c>
      <c r="J8" s="3">
        <v>45898</v>
      </c>
      <c r="K8" s="3">
        <v>46262</v>
      </c>
      <c r="L8" s="8">
        <f t="shared" ca="1" si="0"/>
        <v>58</v>
      </c>
      <c r="M8" s="8" t="s">
        <v>54</v>
      </c>
    </row>
    <row r="9" spans="1:16" ht="116.25" customHeight="1">
      <c r="A9" s="90"/>
      <c r="B9" s="20" t="s">
        <v>41</v>
      </c>
      <c r="C9" s="1" t="s">
        <v>40</v>
      </c>
      <c r="D9" s="2" t="s">
        <v>22</v>
      </c>
      <c r="E9" s="2" t="s">
        <v>35</v>
      </c>
      <c r="F9" s="2" t="s">
        <v>36</v>
      </c>
      <c r="G9" s="64" t="s">
        <v>22</v>
      </c>
      <c r="H9" s="2" t="s">
        <v>37</v>
      </c>
      <c r="I9" s="4">
        <v>8145283.21</v>
      </c>
      <c r="J9" s="3">
        <v>45898</v>
      </c>
      <c r="K9" s="3">
        <v>46262</v>
      </c>
      <c r="L9" s="8">
        <f t="shared" ca="1" si="0"/>
        <v>58</v>
      </c>
      <c r="M9" s="8" t="s">
        <v>54</v>
      </c>
    </row>
    <row r="10" spans="1:16" ht="96" customHeight="1">
      <c r="A10" s="90"/>
      <c r="B10" s="20" t="s">
        <v>289</v>
      </c>
      <c r="C10" s="1" t="s">
        <v>290</v>
      </c>
      <c r="D10" s="64" t="s">
        <v>22</v>
      </c>
      <c r="E10" s="64" t="s">
        <v>291</v>
      </c>
      <c r="F10" s="64" t="s">
        <v>292</v>
      </c>
      <c r="G10" s="64" t="s">
        <v>22</v>
      </c>
      <c r="H10" s="64" t="s">
        <v>18</v>
      </c>
      <c r="I10" s="4">
        <v>373854.56</v>
      </c>
      <c r="J10" s="3">
        <v>46174</v>
      </c>
      <c r="K10" s="3">
        <v>46538</v>
      </c>
      <c r="L10" s="8">
        <f t="shared" ca="1" si="0"/>
        <v>334</v>
      </c>
      <c r="M10" s="8"/>
    </row>
    <row r="11" spans="1:16" ht="96" customHeight="1">
      <c r="A11" s="90"/>
      <c r="B11" s="20" t="s">
        <v>293</v>
      </c>
      <c r="C11" s="1" t="s">
        <v>294</v>
      </c>
      <c r="D11" s="64" t="s">
        <v>22</v>
      </c>
      <c r="E11" s="64" t="s">
        <v>291</v>
      </c>
      <c r="F11" s="64" t="s">
        <v>292</v>
      </c>
      <c r="G11" s="64" t="s">
        <v>22</v>
      </c>
      <c r="H11" s="64" t="s">
        <v>18</v>
      </c>
      <c r="I11" s="4">
        <v>375534.58</v>
      </c>
      <c r="J11" s="3">
        <v>46174</v>
      </c>
      <c r="K11" s="3">
        <v>46538</v>
      </c>
      <c r="L11" s="8">
        <f t="shared" ca="1" si="0"/>
        <v>334</v>
      </c>
      <c r="M11" s="8"/>
    </row>
    <row r="12" spans="1:16" ht="96" customHeight="1">
      <c r="A12" s="90"/>
      <c r="B12" s="20" t="s">
        <v>295</v>
      </c>
      <c r="C12" s="1" t="s">
        <v>296</v>
      </c>
      <c r="D12" s="64" t="s">
        <v>22</v>
      </c>
      <c r="E12" s="64" t="s">
        <v>291</v>
      </c>
      <c r="F12" s="64" t="s">
        <v>292</v>
      </c>
      <c r="G12" s="64" t="s">
        <v>22</v>
      </c>
      <c r="H12" s="64" t="s">
        <v>18</v>
      </c>
      <c r="I12" s="4">
        <v>373854.56</v>
      </c>
      <c r="J12" s="3">
        <v>46174</v>
      </c>
      <c r="K12" s="3">
        <v>46538</v>
      </c>
      <c r="L12" s="8">
        <f t="shared" ca="1" si="0"/>
        <v>334</v>
      </c>
      <c r="M12" s="8"/>
    </row>
    <row r="13" spans="1:16" ht="96" customHeight="1">
      <c r="A13" s="108"/>
      <c r="B13" s="82" t="s">
        <v>308</v>
      </c>
      <c r="C13" s="103" t="s">
        <v>314</v>
      </c>
      <c r="D13" s="104" t="s">
        <v>309</v>
      </c>
      <c r="E13" s="104" t="s">
        <v>310</v>
      </c>
      <c r="F13" s="104" t="s">
        <v>311</v>
      </c>
      <c r="G13" s="104" t="s">
        <v>22</v>
      </c>
      <c r="H13" s="104" t="s">
        <v>37</v>
      </c>
      <c r="I13" s="105">
        <v>897219.84</v>
      </c>
      <c r="J13" s="106">
        <v>46151</v>
      </c>
      <c r="K13" s="106">
        <v>46516</v>
      </c>
      <c r="L13" s="107">
        <f t="shared" ref="L13:L20" ca="1" si="1">_xlfn.DAYS(K13, TODAY())</f>
        <v>312</v>
      </c>
      <c r="M13" s="107"/>
    </row>
    <row r="14" spans="1:16" ht="93" customHeight="1">
      <c r="A14" s="109" t="s">
        <v>312</v>
      </c>
      <c r="B14" s="112" t="s">
        <v>313</v>
      </c>
      <c r="C14" s="64" t="s">
        <v>315</v>
      </c>
      <c r="D14" s="64" t="s">
        <v>22</v>
      </c>
      <c r="E14" s="64" t="s">
        <v>316</v>
      </c>
      <c r="F14" s="113" t="s">
        <v>320</v>
      </c>
      <c r="G14" s="104" t="s">
        <v>22</v>
      </c>
      <c r="H14" s="64" t="s">
        <v>18</v>
      </c>
      <c r="I14" s="4">
        <v>855459</v>
      </c>
      <c r="J14" s="3">
        <v>46147</v>
      </c>
      <c r="K14" s="3">
        <v>46512</v>
      </c>
      <c r="L14" s="107">
        <f t="shared" ca="1" si="1"/>
        <v>308</v>
      </c>
      <c r="M14" s="64"/>
    </row>
    <row r="15" spans="1:16" ht="93" customHeight="1">
      <c r="A15" s="110"/>
      <c r="B15" s="112" t="s">
        <v>318</v>
      </c>
      <c r="C15" s="64" t="s">
        <v>317</v>
      </c>
      <c r="D15" s="64" t="s">
        <v>22</v>
      </c>
      <c r="E15" s="64" t="s">
        <v>319</v>
      </c>
      <c r="F15" s="64" t="s">
        <v>322</v>
      </c>
      <c r="G15" s="104" t="s">
        <v>22</v>
      </c>
      <c r="H15" s="64" t="s">
        <v>18</v>
      </c>
      <c r="I15" s="4">
        <v>357720</v>
      </c>
      <c r="J15" s="3">
        <v>46175</v>
      </c>
      <c r="K15" s="3">
        <v>46540</v>
      </c>
      <c r="L15" s="107">
        <f t="shared" ca="1" si="1"/>
        <v>336</v>
      </c>
      <c r="M15" s="64"/>
    </row>
    <row r="16" spans="1:16" ht="93" customHeight="1">
      <c r="A16" s="110"/>
      <c r="B16" s="112" t="s">
        <v>328</v>
      </c>
      <c r="C16" s="64" t="s">
        <v>321</v>
      </c>
      <c r="D16" s="64" t="s">
        <v>22</v>
      </c>
      <c r="E16" s="64" t="s">
        <v>319</v>
      </c>
      <c r="F16" s="64" t="s">
        <v>322</v>
      </c>
      <c r="G16" s="104" t="s">
        <v>22</v>
      </c>
      <c r="H16" s="64" t="s">
        <v>18</v>
      </c>
      <c r="I16" s="4">
        <v>324720</v>
      </c>
      <c r="J16" s="3">
        <v>46175</v>
      </c>
      <c r="K16" s="3">
        <v>46540</v>
      </c>
      <c r="L16" s="107">
        <f t="shared" ca="1" si="1"/>
        <v>336</v>
      </c>
      <c r="M16" s="64"/>
    </row>
    <row r="17" spans="1:13" ht="93" customHeight="1">
      <c r="A17" s="110"/>
      <c r="B17" s="112" t="s">
        <v>323</v>
      </c>
      <c r="C17" s="64" t="s">
        <v>324</v>
      </c>
      <c r="D17" s="64" t="s">
        <v>22</v>
      </c>
      <c r="E17" s="64" t="s">
        <v>319</v>
      </c>
      <c r="F17" s="64" t="s">
        <v>322</v>
      </c>
      <c r="G17" s="104" t="s">
        <v>22</v>
      </c>
      <c r="H17" s="64" t="s">
        <v>18</v>
      </c>
      <c r="I17" s="4">
        <v>324720</v>
      </c>
      <c r="J17" s="3">
        <v>46175</v>
      </c>
      <c r="K17" s="3">
        <v>46540</v>
      </c>
      <c r="L17" s="107">
        <f t="shared" ca="1" si="1"/>
        <v>336</v>
      </c>
      <c r="M17" s="64"/>
    </row>
    <row r="18" spans="1:13" ht="93" customHeight="1">
      <c r="A18" s="110"/>
      <c r="B18" s="112" t="s">
        <v>325</v>
      </c>
      <c r="C18" s="64" t="s">
        <v>326</v>
      </c>
      <c r="D18" s="64" t="s">
        <v>22</v>
      </c>
      <c r="E18" s="64" t="s">
        <v>319</v>
      </c>
      <c r="F18" s="64" t="s">
        <v>322</v>
      </c>
      <c r="G18" s="104" t="s">
        <v>22</v>
      </c>
      <c r="H18" s="64" t="s">
        <v>18</v>
      </c>
      <c r="I18" s="4">
        <v>324720</v>
      </c>
      <c r="J18" s="3">
        <v>46175</v>
      </c>
      <c r="K18" s="3">
        <v>46540</v>
      </c>
      <c r="L18" s="107">
        <f t="shared" ca="1" si="1"/>
        <v>336</v>
      </c>
      <c r="M18" s="64"/>
    </row>
    <row r="19" spans="1:13" ht="93" customHeight="1">
      <c r="A19" s="110"/>
      <c r="B19" s="112" t="s">
        <v>327</v>
      </c>
      <c r="C19" s="64" t="s">
        <v>329</v>
      </c>
      <c r="D19" s="64" t="s">
        <v>22</v>
      </c>
      <c r="E19" s="64" t="s">
        <v>319</v>
      </c>
      <c r="F19" s="64" t="s">
        <v>322</v>
      </c>
      <c r="G19" s="104" t="s">
        <v>22</v>
      </c>
      <c r="H19" s="64" t="s">
        <v>18</v>
      </c>
      <c r="I19" s="4">
        <v>324720</v>
      </c>
      <c r="J19" s="3">
        <v>46175</v>
      </c>
      <c r="K19" s="3">
        <v>46540</v>
      </c>
      <c r="L19" s="107">
        <f t="shared" ca="1" si="1"/>
        <v>336</v>
      </c>
      <c r="M19" s="64"/>
    </row>
    <row r="20" spans="1:13" ht="93" customHeight="1">
      <c r="A20" s="111"/>
      <c r="B20" s="112" t="s">
        <v>330</v>
      </c>
      <c r="C20" s="64" t="s">
        <v>331</v>
      </c>
      <c r="D20" s="64" t="s">
        <v>22</v>
      </c>
      <c r="E20" s="64" t="s">
        <v>319</v>
      </c>
      <c r="F20" s="64" t="s">
        <v>322</v>
      </c>
      <c r="G20" s="64" t="s">
        <v>22</v>
      </c>
      <c r="H20" s="64" t="s">
        <v>18</v>
      </c>
      <c r="I20" s="4">
        <v>324720</v>
      </c>
      <c r="J20" s="3">
        <v>46181</v>
      </c>
      <c r="K20" s="3">
        <v>46546</v>
      </c>
      <c r="L20" s="8">
        <f t="shared" ca="1" si="1"/>
        <v>342</v>
      </c>
      <c r="M20" s="64"/>
    </row>
  </sheetData>
  <mergeCells count="4">
    <mergeCell ref="A1:B1"/>
    <mergeCell ref="A2:A6"/>
    <mergeCell ref="A14:A20"/>
    <mergeCell ref="A7:A13"/>
  </mergeCells>
  <conditionalFormatting sqref="L2:M12">
    <cfRule type="iconSet" priority="4">
      <iconSet>
        <cfvo type="percent" val="0"/>
        <cfvo type="num" val="60"/>
        <cfvo type="num" val="91"/>
      </iconSet>
    </cfRule>
  </conditionalFormatting>
  <conditionalFormatting sqref="L13:M13 L14:L20">
    <cfRule type="iconSet" priority="1">
      <iconSet>
        <cfvo type="percent" val="0"/>
        <cfvo type="num" val="60"/>
        <cfvo type="num" val="91"/>
      </iconSet>
    </cfRule>
  </conditionalFormatting>
  <pageMargins left="0.25" right="0.25" top="0.75" bottom="0.75" header="0.3" footer="0.3"/>
  <pageSetup paperSize="9" scale="39" orientation="landscape" r:id="rId1"/>
  <headerFooter>
    <oddHeader>&amp;C&amp;"-,Negrito"&amp;14CONTROLE FINANCEIRO MENSAL
TETO CONTRATUAL E PRODUÇÃO - FEVEREIRO/2021</oddHead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1"/>
  <sheetViews>
    <sheetView showWhiteSpace="0" zoomScaleNormal="100" zoomScalePageLayoutView="80" workbookViewId="0">
      <selection activeCell="C12" sqref="C12"/>
    </sheetView>
  </sheetViews>
  <sheetFormatPr defaultColWidth="9" defaultRowHeight="15.75"/>
  <cols>
    <col min="1" max="1" width="9" style="6"/>
    <col min="2" max="2" width="32.85546875" style="6" customWidth="1"/>
    <col min="3" max="3" width="88" style="6" customWidth="1"/>
    <col min="4" max="5" width="22.42578125" style="6" customWidth="1"/>
    <col min="6" max="6" width="9" style="6"/>
    <col min="7" max="7" width="15" style="6" customWidth="1"/>
    <col min="8" max="8" width="12" style="6" customWidth="1"/>
    <col min="9" max="16384" width="9" style="6"/>
  </cols>
  <sheetData>
    <row r="1" spans="1:8" ht="36.75" customHeight="1">
      <c r="A1" s="91" t="s">
        <v>282</v>
      </c>
      <c r="B1" s="65" t="s">
        <v>0</v>
      </c>
      <c r="C1" s="65" t="s">
        <v>9</v>
      </c>
      <c r="D1" s="66" t="s">
        <v>283</v>
      </c>
      <c r="E1" s="67" t="s">
        <v>284</v>
      </c>
    </row>
    <row r="2" spans="1:8" ht="49.5" customHeight="1">
      <c r="A2" s="92"/>
      <c r="B2" s="65" t="s">
        <v>197</v>
      </c>
      <c r="C2" s="70" t="s">
        <v>42</v>
      </c>
      <c r="D2" s="4">
        <v>47165.24</v>
      </c>
      <c r="E2" s="14">
        <v>46151</v>
      </c>
    </row>
    <row r="3" spans="1:8" ht="39.75" customHeight="1">
      <c r="A3" s="92"/>
      <c r="B3" s="65" t="s">
        <v>190</v>
      </c>
      <c r="C3" s="68" t="s">
        <v>285</v>
      </c>
      <c r="D3" s="4">
        <v>59633.89</v>
      </c>
      <c r="E3" s="14" t="s">
        <v>286</v>
      </c>
      <c r="G3" t="s">
        <v>297</v>
      </c>
      <c r="H3" s="71">
        <v>46176</v>
      </c>
    </row>
    <row r="4" spans="1:8" ht="39.75" customHeight="1">
      <c r="A4" s="92"/>
      <c r="B4" s="65" t="s">
        <v>191</v>
      </c>
      <c r="C4" s="68" t="s">
        <v>285</v>
      </c>
      <c r="D4" s="4">
        <v>485781.77</v>
      </c>
      <c r="E4" s="14" t="s">
        <v>286</v>
      </c>
    </row>
    <row r="5" spans="1:8" ht="39.75" customHeight="1">
      <c r="A5" s="92"/>
      <c r="B5" s="65" t="s">
        <v>192</v>
      </c>
      <c r="C5" s="68" t="s">
        <v>285</v>
      </c>
      <c r="D5" s="4">
        <v>31997.05</v>
      </c>
      <c r="E5" s="14" t="s">
        <v>286</v>
      </c>
    </row>
    <row r="6" spans="1:8" ht="39.75" customHeight="1">
      <c r="A6" s="92"/>
      <c r="B6" s="65" t="s">
        <v>193</v>
      </c>
      <c r="C6" s="68" t="s">
        <v>285</v>
      </c>
      <c r="D6" s="4">
        <v>440562.68</v>
      </c>
      <c r="E6" s="14" t="s">
        <v>286</v>
      </c>
    </row>
    <row r="7" spans="1:8" ht="39.75" customHeight="1">
      <c r="A7" s="92"/>
      <c r="B7" s="65" t="s">
        <v>194</v>
      </c>
      <c r="C7" s="68" t="s">
        <v>287</v>
      </c>
      <c r="D7" s="4">
        <v>247914.06</v>
      </c>
      <c r="E7" s="14">
        <v>45931</v>
      </c>
    </row>
    <row r="8" spans="1:8" ht="39.75" customHeight="1">
      <c r="A8" s="92"/>
      <c r="B8" s="65" t="s">
        <v>195</v>
      </c>
      <c r="C8" s="68" t="s">
        <v>287</v>
      </c>
      <c r="D8" s="4">
        <v>325700.15999999997</v>
      </c>
      <c r="E8" s="14">
        <v>45931</v>
      </c>
    </row>
    <row r="9" spans="1:8" ht="39.75" customHeight="1">
      <c r="A9" s="92"/>
      <c r="B9" s="65" t="s">
        <v>288</v>
      </c>
      <c r="C9" s="68" t="s">
        <v>287</v>
      </c>
      <c r="D9" s="4">
        <v>343623.1</v>
      </c>
      <c r="E9" s="14">
        <v>45931</v>
      </c>
    </row>
    <row r="10" spans="1:8" ht="39.75" customHeight="1">
      <c r="A10" s="92"/>
      <c r="B10" s="65" t="s">
        <v>196</v>
      </c>
      <c r="C10" s="68" t="s">
        <v>287</v>
      </c>
      <c r="D10" s="4">
        <v>134929.29999999999</v>
      </c>
      <c r="E10" s="14">
        <v>45931</v>
      </c>
    </row>
    <row r="11" spans="1:8">
      <c r="C11" s="6" t="s">
        <v>304</v>
      </c>
      <c r="D11" s="81">
        <v>38945.423333333332</v>
      </c>
    </row>
  </sheetData>
  <mergeCells count="1">
    <mergeCell ref="A1:A10"/>
  </mergeCells>
  <pageMargins left="0.25" right="0.25" top="0.75" bottom="0.75" header="0.3" footer="0.3"/>
  <pageSetup paperSize="9" scale="71" orientation="landscape" r:id="rId1"/>
  <headerFooter>
    <oddHeader>&amp;C&amp;"-,Negrito"&amp;14CONTROLE FINANCEIRO MENSAL
TETO CONTRATUAL E PRODUÇÃO - FEVEREIRO/2021</oddHead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34"/>
  <sheetViews>
    <sheetView zoomScale="80" zoomScaleNormal="80" workbookViewId="0">
      <selection activeCell="M3" sqref="M3"/>
    </sheetView>
  </sheetViews>
  <sheetFormatPr defaultRowHeight="15.75"/>
  <cols>
    <col min="1" max="1" width="36.42578125" style="6" customWidth="1"/>
    <col min="2" max="2" width="20.5703125" style="6" customWidth="1"/>
    <col min="3" max="3" width="30.7109375" style="6" customWidth="1"/>
    <col min="4" max="4" width="32.5703125" style="6" hidden="1" customWidth="1"/>
    <col min="5" max="5" width="41.42578125" style="6" hidden="1" customWidth="1"/>
    <col min="6" max="6" width="64.7109375" style="6" hidden="1" customWidth="1"/>
    <col min="7" max="7" width="21.7109375" style="6" customWidth="1"/>
    <col min="8" max="9" width="22.28515625" style="6" customWidth="1"/>
    <col min="10" max="10" width="18" style="6" customWidth="1"/>
    <col min="11" max="11" width="68.5703125" style="6" customWidth="1"/>
    <col min="13" max="13" width="14.85546875" customWidth="1"/>
    <col min="14" max="14" width="12.5703125" customWidth="1"/>
  </cols>
  <sheetData>
    <row r="1" spans="1:14" ht="15">
      <c r="A1" s="95" t="s">
        <v>155</v>
      </c>
      <c r="B1" s="95" t="s">
        <v>45</v>
      </c>
      <c r="C1" s="95" t="s">
        <v>156</v>
      </c>
      <c r="D1" s="95" t="s">
        <v>47</v>
      </c>
      <c r="E1" s="95" t="s">
        <v>48</v>
      </c>
      <c r="F1" s="95" t="s">
        <v>157</v>
      </c>
      <c r="G1" s="95" t="s">
        <v>158</v>
      </c>
      <c r="H1" s="95"/>
      <c r="I1" s="95" t="s">
        <v>32</v>
      </c>
      <c r="J1" s="95" t="s">
        <v>51</v>
      </c>
      <c r="K1" s="95" t="s">
        <v>106</v>
      </c>
    </row>
    <row r="2" spans="1:14" ht="15.75" customHeight="1">
      <c r="A2" s="96"/>
      <c r="B2" s="96"/>
      <c r="C2" s="96"/>
      <c r="D2" s="96"/>
      <c r="E2" s="96"/>
      <c r="F2" s="96"/>
      <c r="G2" s="96" t="s">
        <v>159</v>
      </c>
      <c r="H2" s="96" t="s">
        <v>50</v>
      </c>
      <c r="I2" s="96"/>
      <c r="J2" s="96"/>
      <c r="K2" s="96"/>
    </row>
    <row r="3" spans="1:14" ht="47.25">
      <c r="A3" s="95" t="s">
        <v>12</v>
      </c>
      <c r="B3" s="12" t="s">
        <v>105</v>
      </c>
      <c r="C3" s="13" t="s">
        <v>86</v>
      </c>
      <c r="D3" s="13" t="s">
        <v>76</v>
      </c>
      <c r="E3" s="13" t="s">
        <v>105</v>
      </c>
      <c r="F3" s="13" t="s">
        <v>103</v>
      </c>
      <c r="G3" s="13" t="s">
        <v>104</v>
      </c>
      <c r="H3" s="10" t="s">
        <v>105</v>
      </c>
      <c r="I3" s="8"/>
      <c r="J3" s="4">
        <v>673389</v>
      </c>
      <c r="K3" s="4" t="s">
        <v>107</v>
      </c>
      <c r="M3" t="s">
        <v>297</v>
      </c>
      <c r="N3" s="71">
        <v>46176</v>
      </c>
    </row>
    <row r="4" spans="1:14" ht="47.25">
      <c r="A4" s="96"/>
      <c r="B4" s="12" t="s">
        <v>109</v>
      </c>
      <c r="C4" s="13" t="s">
        <v>87</v>
      </c>
      <c r="D4" s="13" t="s">
        <v>88</v>
      </c>
      <c r="E4" s="13" t="s">
        <v>89</v>
      </c>
      <c r="F4" s="13" t="s">
        <v>108</v>
      </c>
      <c r="G4" s="14">
        <v>46009</v>
      </c>
      <c r="H4" s="11">
        <v>46190</v>
      </c>
      <c r="I4" s="8">
        <f t="shared" ref="I4:I10" ca="1" si="0">_xlfn.DAYS(H4, TODAY())</f>
        <v>-14</v>
      </c>
      <c r="J4" s="4">
        <v>400000</v>
      </c>
      <c r="K4" s="4" t="s">
        <v>110</v>
      </c>
    </row>
    <row r="5" spans="1:14" ht="47.25">
      <c r="A5" s="96"/>
      <c r="B5" s="12" t="s">
        <v>105</v>
      </c>
      <c r="C5" s="13" t="s">
        <v>90</v>
      </c>
      <c r="D5" s="13" t="s">
        <v>81</v>
      </c>
      <c r="E5" s="12" t="s">
        <v>105</v>
      </c>
      <c r="F5" s="13" t="s">
        <v>103</v>
      </c>
      <c r="G5" s="12" t="s">
        <v>105</v>
      </c>
      <c r="H5" s="12" t="s">
        <v>105</v>
      </c>
      <c r="I5" s="8"/>
      <c r="J5" s="4">
        <v>303000</v>
      </c>
      <c r="K5" s="4" t="s">
        <v>107</v>
      </c>
    </row>
    <row r="6" spans="1:14" ht="47.25">
      <c r="A6" s="96"/>
      <c r="B6" s="12" t="s">
        <v>105</v>
      </c>
      <c r="C6" s="13" t="s">
        <v>91</v>
      </c>
      <c r="D6" s="13" t="s">
        <v>80</v>
      </c>
      <c r="E6" s="12" t="s">
        <v>105</v>
      </c>
      <c r="F6" s="13" t="s">
        <v>103</v>
      </c>
      <c r="G6" s="12" t="s">
        <v>105</v>
      </c>
      <c r="H6" s="12" t="s">
        <v>105</v>
      </c>
      <c r="I6" s="8"/>
      <c r="J6" s="4">
        <v>300000</v>
      </c>
      <c r="K6" s="4" t="s">
        <v>107</v>
      </c>
    </row>
    <row r="7" spans="1:14" ht="47.25">
      <c r="A7" s="96"/>
      <c r="B7" s="12" t="s">
        <v>112</v>
      </c>
      <c r="C7" s="13" t="s">
        <v>92</v>
      </c>
      <c r="D7" s="13" t="s">
        <v>93</v>
      </c>
      <c r="E7" s="13" t="s">
        <v>94</v>
      </c>
      <c r="F7" s="13" t="s">
        <v>111</v>
      </c>
      <c r="G7" s="14">
        <v>46022</v>
      </c>
      <c r="H7" s="11">
        <v>46387</v>
      </c>
      <c r="I7" s="8">
        <f t="shared" ca="1" si="0"/>
        <v>183</v>
      </c>
      <c r="J7" s="4">
        <v>750000</v>
      </c>
      <c r="K7" s="4" t="s">
        <v>298</v>
      </c>
    </row>
    <row r="8" spans="1:14" ht="47.25">
      <c r="A8" s="96"/>
      <c r="B8" s="12" t="s">
        <v>105</v>
      </c>
      <c r="C8" s="13" t="s">
        <v>95</v>
      </c>
      <c r="D8" s="13" t="s">
        <v>70</v>
      </c>
      <c r="E8" s="12" t="s">
        <v>105</v>
      </c>
      <c r="F8" s="13" t="s">
        <v>113</v>
      </c>
      <c r="G8" s="12" t="s">
        <v>105</v>
      </c>
      <c r="H8" s="12" t="s">
        <v>105</v>
      </c>
      <c r="I8" s="8"/>
      <c r="J8" s="4">
        <v>350000</v>
      </c>
      <c r="K8" s="4" t="s">
        <v>107</v>
      </c>
    </row>
    <row r="9" spans="1:14" ht="47.25">
      <c r="A9" s="96"/>
      <c r="B9" s="12" t="s">
        <v>115</v>
      </c>
      <c r="C9" s="13" t="s">
        <v>96</v>
      </c>
      <c r="D9" s="13" t="s">
        <v>83</v>
      </c>
      <c r="E9" s="13" t="s">
        <v>94</v>
      </c>
      <c r="F9" s="13" t="s">
        <v>114</v>
      </c>
      <c r="G9" s="14">
        <v>46020</v>
      </c>
      <c r="H9" s="11">
        <v>46201</v>
      </c>
      <c r="I9" s="8">
        <f t="shared" ca="1" si="0"/>
        <v>-3</v>
      </c>
      <c r="J9" s="4">
        <v>300000</v>
      </c>
      <c r="K9" s="4" t="s">
        <v>110</v>
      </c>
    </row>
    <row r="10" spans="1:14" ht="47.25">
      <c r="A10" s="97"/>
      <c r="B10" s="12" t="s">
        <v>117</v>
      </c>
      <c r="C10" s="13" t="s">
        <v>97</v>
      </c>
      <c r="D10" s="13" t="s">
        <v>85</v>
      </c>
      <c r="E10" s="13" t="s">
        <v>94</v>
      </c>
      <c r="F10" s="13" t="s">
        <v>116</v>
      </c>
      <c r="G10" s="14">
        <v>46022</v>
      </c>
      <c r="H10" s="11">
        <v>46203</v>
      </c>
      <c r="I10" s="8">
        <f t="shared" ca="1" si="0"/>
        <v>-1</v>
      </c>
      <c r="J10" s="4">
        <v>297000</v>
      </c>
      <c r="K10" s="4" t="s">
        <v>110</v>
      </c>
    </row>
    <row r="11" spans="1:14" ht="2.25" customHeight="1">
      <c r="A11" s="98"/>
      <c r="B11" s="99"/>
      <c r="C11" s="99"/>
      <c r="D11" s="99"/>
      <c r="E11" s="99"/>
      <c r="F11" s="99"/>
      <c r="G11" s="99"/>
      <c r="H11" s="99"/>
      <c r="I11" s="99"/>
      <c r="J11" s="99"/>
      <c r="K11" s="100"/>
    </row>
    <row r="12" spans="1:14" ht="47.25">
      <c r="A12" s="93" t="s">
        <v>14</v>
      </c>
      <c r="B12" s="12" t="s">
        <v>119</v>
      </c>
      <c r="C12" s="12" t="s">
        <v>62</v>
      </c>
      <c r="D12" s="13" t="s">
        <v>55</v>
      </c>
      <c r="E12" s="13" t="s">
        <v>56</v>
      </c>
      <c r="F12" s="13" t="s">
        <v>118</v>
      </c>
      <c r="G12" s="14">
        <v>46021</v>
      </c>
      <c r="H12" s="11">
        <v>46386</v>
      </c>
      <c r="I12" s="8">
        <f ca="1">_xlfn.DAYS(H12, TODAY())</f>
        <v>182</v>
      </c>
      <c r="J12" s="4">
        <v>300000</v>
      </c>
      <c r="K12" s="4" t="s">
        <v>298</v>
      </c>
    </row>
    <row r="13" spans="1:14" ht="63">
      <c r="A13" s="94"/>
      <c r="B13" s="12" t="s">
        <v>122</v>
      </c>
      <c r="C13" s="13" t="s">
        <v>57</v>
      </c>
      <c r="D13" s="13" t="s">
        <v>58</v>
      </c>
      <c r="E13" s="13" t="s">
        <v>56</v>
      </c>
      <c r="F13" s="13" t="s">
        <v>121</v>
      </c>
      <c r="G13" s="14">
        <v>46021</v>
      </c>
      <c r="H13" s="11">
        <v>46386</v>
      </c>
      <c r="I13" s="8">
        <f t="shared" ref="I13:I34" ca="1" si="1">_xlfn.DAYS(H13, TODAY())</f>
        <v>182</v>
      </c>
      <c r="J13" s="4">
        <v>1000000</v>
      </c>
      <c r="K13" s="4" t="s">
        <v>120</v>
      </c>
    </row>
    <row r="14" spans="1:14" ht="47.25">
      <c r="A14" s="94"/>
      <c r="B14" s="12" t="s">
        <v>124</v>
      </c>
      <c r="C14" s="13" t="s">
        <v>59</v>
      </c>
      <c r="D14" s="13" t="s">
        <v>60</v>
      </c>
      <c r="E14" s="13" t="s">
        <v>56</v>
      </c>
      <c r="F14" s="13" t="s">
        <v>123</v>
      </c>
      <c r="G14" s="14">
        <v>46021</v>
      </c>
      <c r="H14" s="11">
        <v>46386</v>
      </c>
      <c r="I14" s="8">
        <f t="shared" ca="1" si="1"/>
        <v>182</v>
      </c>
      <c r="J14" s="4">
        <v>400000</v>
      </c>
      <c r="K14" s="4" t="s">
        <v>298</v>
      </c>
    </row>
    <row r="15" spans="1:14" ht="47.25">
      <c r="A15" s="94"/>
      <c r="B15" s="12" t="s">
        <v>126</v>
      </c>
      <c r="C15" s="13" t="s">
        <v>61</v>
      </c>
      <c r="D15" s="13" t="s">
        <v>63</v>
      </c>
      <c r="E15" s="13" t="s">
        <v>56</v>
      </c>
      <c r="F15" s="13" t="s">
        <v>125</v>
      </c>
      <c r="G15" s="14">
        <v>46020</v>
      </c>
      <c r="H15" s="11">
        <v>46385</v>
      </c>
      <c r="I15" s="8">
        <f t="shared" ca="1" si="1"/>
        <v>181</v>
      </c>
      <c r="J15" s="4">
        <v>650000</v>
      </c>
      <c r="K15" s="4" t="s">
        <v>120</v>
      </c>
    </row>
    <row r="16" spans="1:14" ht="47.25">
      <c r="A16" s="94"/>
      <c r="B16" s="15" t="s">
        <v>128</v>
      </c>
      <c r="C16" s="16" t="s">
        <v>64</v>
      </c>
      <c r="D16" s="16" t="s">
        <v>65</v>
      </c>
      <c r="E16" s="16" t="s">
        <v>56</v>
      </c>
      <c r="F16" s="16" t="s">
        <v>127</v>
      </c>
      <c r="G16" s="17">
        <v>46021</v>
      </c>
      <c r="H16" s="18">
        <v>46386</v>
      </c>
      <c r="I16" s="8">
        <f t="shared" ca="1" si="1"/>
        <v>182</v>
      </c>
      <c r="J16" s="19">
        <v>1200000</v>
      </c>
      <c r="K16" s="19" t="s">
        <v>120</v>
      </c>
    </row>
    <row r="17" spans="1:11" ht="47.25">
      <c r="A17" s="94"/>
      <c r="B17" s="15" t="s">
        <v>129</v>
      </c>
      <c r="C17" s="16" t="s">
        <v>66</v>
      </c>
      <c r="D17" s="16" t="s">
        <v>65</v>
      </c>
      <c r="E17" s="16" t="s">
        <v>56</v>
      </c>
      <c r="F17" s="16" t="s">
        <v>125</v>
      </c>
      <c r="G17" s="17">
        <v>46022</v>
      </c>
      <c r="H17" s="18">
        <v>46387</v>
      </c>
      <c r="I17" s="8">
        <f t="shared" ca="1" si="1"/>
        <v>183</v>
      </c>
      <c r="J17" s="19">
        <v>503000</v>
      </c>
      <c r="K17" s="19" t="s">
        <v>120</v>
      </c>
    </row>
    <row r="18" spans="1:11" ht="47.25">
      <c r="A18" s="94"/>
      <c r="B18" s="15" t="s">
        <v>130</v>
      </c>
      <c r="C18" s="16" t="s">
        <v>67</v>
      </c>
      <c r="D18" s="16" t="s">
        <v>68</v>
      </c>
      <c r="E18" s="16" t="s">
        <v>56</v>
      </c>
      <c r="F18" s="16" t="s">
        <v>125</v>
      </c>
      <c r="G18" s="17">
        <v>46021</v>
      </c>
      <c r="H18" s="18">
        <v>46386</v>
      </c>
      <c r="I18" s="8">
        <f t="shared" ca="1" si="1"/>
        <v>182</v>
      </c>
      <c r="J18" s="19">
        <v>700000</v>
      </c>
      <c r="K18" s="19" t="s">
        <v>120</v>
      </c>
    </row>
    <row r="19" spans="1:11" ht="47.25">
      <c r="A19" s="94"/>
      <c r="B19" s="15" t="s">
        <v>131</v>
      </c>
      <c r="C19" s="16" t="s">
        <v>69</v>
      </c>
      <c r="D19" s="16" t="s">
        <v>70</v>
      </c>
      <c r="E19" s="16" t="s">
        <v>56</v>
      </c>
      <c r="F19" s="16" t="s">
        <v>132</v>
      </c>
      <c r="G19" s="17">
        <v>46021</v>
      </c>
      <c r="H19" s="18">
        <v>46386</v>
      </c>
      <c r="I19" s="8">
        <f t="shared" ca="1" si="1"/>
        <v>182</v>
      </c>
      <c r="J19" s="19">
        <v>300000</v>
      </c>
      <c r="K19" s="19" t="s">
        <v>120</v>
      </c>
    </row>
    <row r="20" spans="1:11" ht="47.25">
      <c r="A20" s="94"/>
      <c r="B20" s="15" t="s">
        <v>133</v>
      </c>
      <c r="C20" s="16" t="s">
        <v>71</v>
      </c>
      <c r="D20" s="16" t="s">
        <v>72</v>
      </c>
      <c r="E20" s="16" t="s">
        <v>56</v>
      </c>
      <c r="F20" s="16" t="s">
        <v>125</v>
      </c>
      <c r="G20" s="17">
        <v>46022</v>
      </c>
      <c r="H20" s="18">
        <v>46387</v>
      </c>
      <c r="I20" s="8">
        <f t="shared" ca="1" si="1"/>
        <v>183</v>
      </c>
      <c r="J20" s="19">
        <v>650000</v>
      </c>
      <c r="K20" s="19" t="s">
        <v>120</v>
      </c>
    </row>
    <row r="21" spans="1:11" ht="47.25">
      <c r="A21" s="94"/>
      <c r="B21" s="15" t="s">
        <v>134</v>
      </c>
      <c r="C21" s="16" t="s">
        <v>73</v>
      </c>
      <c r="D21" s="16" t="s">
        <v>74</v>
      </c>
      <c r="E21" s="16" t="s">
        <v>56</v>
      </c>
      <c r="F21" s="16" t="s">
        <v>127</v>
      </c>
      <c r="G21" s="17">
        <v>46021</v>
      </c>
      <c r="H21" s="18">
        <v>46386</v>
      </c>
      <c r="I21" s="8">
        <f t="shared" ca="1" si="1"/>
        <v>182</v>
      </c>
      <c r="J21" s="19">
        <v>1400000</v>
      </c>
      <c r="K21" s="19" t="s">
        <v>120</v>
      </c>
    </row>
    <row r="22" spans="1:11" ht="47.25">
      <c r="A22" s="94"/>
      <c r="B22" s="15" t="s">
        <v>135</v>
      </c>
      <c r="C22" s="16" t="s">
        <v>75</v>
      </c>
      <c r="D22" s="16" t="s">
        <v>76</v>
      </c>
      <c r="E22" s="16" t="s">
        <v>56</v>
      </c>
      <c r="F22" s="16" t="s">
        <v>132</v>
      </c>
      <c r="G22" s="17">
        <v>46022</v>
      </c>
      <c r="H22" s="18">
        <v>46387</v>
      </c>
      <c r="I22" s="8">
        <f t="shared" ca="1" si="1"/>
        <v>183</v>
      </c>
      <c r="J22" s="19">
        <v>500000</v>
      </c>
      <c r="K22" s="4" t="s">
        <v>298</v>
      </c>
    </row>
    <row r="23" spans="1:11" ht="47.25">
      <c r="A23" s="94"/>
      <c r="B23" s="15" t="s">
        <v>136</v>
      </c>
      <c r="C23" s="16" t="s">
        <v>77</v>
      </c>
      <c r="D23" s="16" t="s">
        <v>78</v>
      </c>
      <c r="E23" s="16" t="s">
        <v>56</v>
      </c>
      <c r="F23" s="16" t="s">
        <v>125</v>
      </c>
      <c r="G23" s="17">
        <v>46021</v>
      </c>
      <c r="H23" s="18">
        <v>46386</v>
      </c>
      <c r="I23" s="8">
        <f t="shared" ca="1" si="1"/>
        <v>182</v>
      </c>
      <c r="J23" s="19">
        <v>600000</v>
      </c>
      <c r="K23" s="19" t="s">
        <v>120</v>
      </c>
    </row>
    <row r="24" spans="1:11" ht="47.25">
      <c r="A24" s="94"/>
      <c r="B24" s="15" t="s">
        <v>138</v>
      </c>
      <c r="C24" s="16" t="s">
        <v>79</v>
      </c>
      <c r="D24" s="16" t="s">
        <v>80</v>
      </c>
      <c r="E24" s="16" t="s">
        <v>56</v>
      </c>
      <c r="F24" s="16" t="s">
        <v>127</v>
      </c>
      <c r="G24" s="17">
        <v>46021</v>
      </c>
      <c r="H24" s="18">
        <v>46386</v>
      </c>
      <c r="I24" s="8">
        <f t="shared" ca="1" si="1"/>
        <v>182</v>
      </c>
      <c r="J24" s="19">
        <v>500000</v>
      </c>
      <c r="K24" s="19" t="s">
        <v>137</v>
      </c>
    </row>
    <row r="25" spans="1:11" ht="47.25">
      <c r="A25" s="94"/>
      <c r="B25" s="15" t="s">
        <v>140</v>
      </c>
      <c r="C25" s="16" t="s">
        <v>139</v>
      </c>
      <c r="D25" s="16" t="s">
        <v>81</v>
      </c>
      <c r="E25" s="16" t="s">
        <v>56</v>
      </c>
      <c r="F25" s="16" t="s">
        <v>125</v>
      </c>
      <c r="G25" s="17">
        <v>46021</v>
      </c>
      <c r="H25" s="18">
        <v>46386</v>
      </c>
      <c r="I25" s="8">
        <f t="shared" ca="1" si="1"/>
        <v>182</v>
      </c>
      <c r="J25" s="19">
        <v>1400000</v>
      </c>
      <c r="K25" s="19" t="s">
        <v>137</v>
      </c>
    </row>
    <row r="26" spans="1:11" ht="47.25">
      <c r="A26" s="94"/>
      <c r="B26" s="15" t="s">
        <v>141</v>
      </c>
      <c r="C26" s="16" t="s">
        <v>82</v>
      </c>
      <c r="D26" s="16" t="s">
        <v>83</v>
      </c>
      <c r="E26" s="16" t="s">
        <v>56</v>
      </c>
      <c r="F26" s="16" t="s">
        <v>127</v>
      </c>
      <c r="G26" s="17">
        <v>46021</v>
      </c>
      <c r="H26" s="18">
        <v>46386</v>
      </c>
      <c r="I26" s="8">
        <f t="shared" ca="1" si="1"/>
        <v>182</v>
      </c>
      <c r="J26" s="19">
        <v>1000000</v>
      </c>
      <c r="K26" s="19" t="s">
        <v>120</v>
      </c>
    </row>
    <row r="27" spans="1:11" ht="47.25">
      <c r="A27" s="94"/>
      <c r="B27" s="15" t="s">
        <v>142</v>
      </c>
      <c r="C27" s="16" t="s">
        <v>84</v>
      </c>
      <c r="D27" s="16" t="s">
        <v>85</v>
      </c>
      <c r="E27" s="16" t="s">
        <v>56</v>
      </c>
      <c r="F27" s="16" t="s">
        <v>125</v>
      </c>
      <c r="G27" s="17">
        <v>46021</v>
      </c>
      <c r="H27" s="18">
        <v>46386</v>
      </c>
      <c r="I27" s="8">
        <f t="shared" ca="1" si="1"/>
        <v>182</v>
      </c>
      <c r="J27" s="19">
        <v>1000000</v>
      </c>
      <c r="K27" s="19" t="s">
        <v>137</v>
      </c>
    </row>
    <row r="28" spans="1:11" ht="47.25">
      <c r="A28" s="94"/>
      <c r="B28" s="15" t="s">
        <v>161</v>
      </c>
      <c r="C28" s="15" t="s">
        <v>98</v>
      </c>
      <c r="D28" s="15" t="s">
        <v>99</v>
      </c>
      <c r="E28" s="15" t="s">
        <v>56</v>
      </c>
      <c r="F28" s="15" t="s">
        <v>125</v>
      </c>
      <c r="G28" s="72">
        <v>46021</v>
      </c>
      <c r="H28" s="73">
        <v>46386</v>
      </c>
      <c r="I28" s="74">
        <f t="shared" ca="1" si="1"/>
        <v>182</v>
      </c>
      <c r="J28" s="75">
        <v>400000</v>
      </c>
      <c r="K28" s="75" t="s">
        <v>299</v>
      </c>
    </row>
    <row r="29" spans="1:11" ht="47.25">
      <c r="A29" s="94"/>
      <c r="B29" s="15" t="s">
        <v>162</v>
      </c>
      <c r="C29" s="15" t="s">
        <v>100</v>
      </c>
      <c r="D29" s="15" t="s">
        <v>101</v>
      </c>
      <c r="E29" s="15" t="s">
        <v>56</v>
      </c>
      <c r="F29" s="15" t="s">
        <v>125</v>
      </c>
      <c r="G29" s="72">
        <v>45973</v>
      </c>
      <c r="H29" s="73">
        <v>46338</v>
      </c>
      <c r="I29" s="74">
        <f t="shared" ca="1" si="1"/>
        <v>134</v>
      </c>
      <c r="J29" s="75">
        <v>300000</v>
      </c>
      <c r="K29" s="75" t="s">
        <v>300</v>
      </c>
    </row>
    <row r="30" spans="1:11" ht="45">
      <c r="A30" s="94"/>
      <c r="B30" s="15" t="s">
        <v>163</v>
      </c>
      <c r="C30" s="12" t="s">
        <v>164</v>
      </c>
      <c r="D30" s="12" t="s">
        <v>165</v>
      </c>
      <c r="E30" s="76" t="s">
        <v>166</v>
      </c>
      <c r="F30" s="12" t="s">
        <v>167</v>
      </c>
      <c r="G30" s="77">
        <v>45653</v>
      </c>
      <c r="H30" s="77">
        <v>46108</v>
      </c>
      <c r="I30" s="74">
        <f t="shared" ca="1" si="1"/>
        <v>-96</v>
      </c>
      <c r="J30" s="78">
        <v>500000</v>
      </c>
      <c r="K30" s="12" t="s">
        <v>168</v>
      </c>
    </row>
    <row r="31" spans="1:11" ht="47.25">
      <c r="A31" s="94"/>
      <c r="B31" s="15" t="s">
        <v>169</v>
      </c>
      <c r="C31" s="12" t="s">
        <v>170</v>
      </c>
      <c r="D31" s="12" t="s">
        <v>171</v>
      </c>
      <c r="E31" s="79" t="s">
        <v>172</v>
      </c>
      <c r="F31" s="12" t="s">
        <v>173</v>
      </c>
      <c r="G31" s="77">
        <v>45748</v>
      </c>
      <c r="H31" s="77">
        <v>46387</v>
      </c>
      <c r="I31" s="74">
        <f t="shared" ca="1" si="1"/>
        <v>183</v>
      </c>
      <c r="J31" s="78">
        <v>2703746</v>
      </c>
      <c r="K31" s="12" t="s">
        <v>174</v>
      </c>
    </row>
    <row r="32" spans="1:11" ht="47.25">
      <c r="A32" s="94"/>
      <c r="B32" s="15" t="s">
        <v>175</v>
      </c>
      <c r="C32" s="12" t="s">
        <v>176</v>
      </c>
      <c r="D32" s="12" t="s">
        <v>177</v>
      </c>
      <c r="E32" s="79" t="s">
        <v>56</v>
      </c>
      <c r="F32" s="12" t="s">
        <v>178</v>
      </c>
      <c r="G32" s="77">
        <v>46270</v>
      </c>
      <c r="H32" s="77">
        <v>46387</v>
      </c>
      <c r="I32" s="74">
        <f t="shared" ca="1" si="1"/>
        <v>183</v>
      </c>
      <c r="J32" s="78">
        <v>2000000</v>
      </c>
      <c r="K32" s="12" t="s">
        <v>179</v>
      </c>
    </row>
    <row r="33" spans="1:11" ht="47.25">
      <c r="A33" s="94"/>
      <c r="B33" s="15" t="s">
        <v>180</v>
      </c>
      <c r="C33" s="80" t="s">
        <v>181</v>
      </c>
      <c r="D33" s="12" t="s">
        <v>182</v>
      </c>
      <c r="E33" s="76" t="s">
        <v>183</v>
      </c>
      <c r="F33" s="12" t="s">
        <v>178</v>
      </c>
      <c r="G33" s="77">
        <v>45646</v>
      </c>
      <c r="H33" s="77">
        <v>46043</v>
      </c>
      <c r="I33" s="74">
        <f t="shared" ca="1" si="1"/>
        <v>-161</v>
      </c>
      <c r="J33" s="78">
        <v>1000000</v>
      </c>
      <c r="K33" s="12" t="s">
        <v>184</v>
      </c>
    </row>
    <row r="34" spans="1:11" ht="47.25">
      <c r="A34" s="94"/>
      <c r="B34" s="13" t="s">
        <v>185</v>
      </c>
      <c r="C34" s="13" t="s">
        <v>186</v>
      </c>
      <c r="D34" s="13" t="s">
        <v>187</v>
      </c>
      <c r="E34" s="13" t="s">
        <v>188</v>
      </c>
      <c r="F34" s="13" t="s">
        <v>173</v>
      </c>
      <c r="G34" s="14">
        <v>46109</v>
      </c>
      <c r="H34" s="14">
        <v>46387</v>
      </c>
      <c r="I34" s="8">
        <f t="shared" ca="1" si="1"/>
        <v>183</v>
      </c>
      <c r="J34" s="4">
        <v>450000</v>
      </c>
      <c r="K34" s="13" t="s">
        <v>189</v>
      </c>
    </row>
  </sheetData>
  <mergeCells count="14">
    <mergeCell ref="A12:A34"/>
    <mergeCell ref="J1:J2"/>
    <mergeCell ref="K1:K2"/>
    <mergeCell ref="A3:A10"/>
    <mergeCell ref="A11:K11"/>
    <mergeCell ref="E1:E2"/>
    <mergeCell ref="F1:F2"/>
    <mergeCell ref="I1:I2"/>
    <mergeCell ref="G1:G2"/>
    <mergeCell ref="H1:H2"/>
    <mergeCell ref="A1:A2"/>
    <mergeCell ref="B1:B2"/>
    <mergeCell ref="C1:C2"/>
    <mergeCell ref="D1:D2"/>
  </mergeCells>
  <conditionalFormatting sqref="I3:I10">
    <cfRule type="iconSet" priority="2">
      <iconSet>
        <cfvo type="percent" val="0"/>
        <cfvo type="num" val="60"/>
        <cfvo type="num" val="91"/>
      </iconSet>
    </cfRule>
  </conditionalFormatting>
  <conditionalFormatting sqref="I12:I34">
    <cfRule type="iconSet" priority="4">
      <iconSet>
        <cfvo type="percent" val="0"/>
        <cfvo type="num" val="60"/>
        <cfvo type="num" val="91"/>
      </iconSet>
    </cfRule>
  </conditionalFormatting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1"/>
  <sheetViews>
    <sheetView topLeftCell="D7" workbookViewId="0">
      <selection activeCell="J21" sqref="J21"/>
    </sheetView>
  </sheetViews>
  <sheetFormatPr defaultRowHeight="15"/>
  <cols>
    <col min="1" max="1" width="41" customWidth="1"/>
    <col min="2" max="2" width="31.42578125" customWidth="1"/>
    <col min="3" max="3" width="22" customWidth="1"/>
    <col min="4" max="4" width="16.42578125" customWidth="1"/>
    <col min="5" max="5" width="29.5703125" customWidth="1"/>
    <col min="6" max="6" width="20" customWidth="1"/>
    <col min="7" max="7" width="22.85546875" customWidth="1"/>
    <col min="8" max="9" width="18.85546875" customWidth="1"/>
    <col min="10" max="10" width="17.85546875" customWidth="1"/>
    <col min="11" max="11" width="33.5703125" customWidth="1"/>
    <col min="13" max="13" width="15.7109375" customWidth="1"/>
    <col min="14" max="14" width="10.85546875" customWidth="1"/>
  </cols>
  <sheetData>
    <row r="1" spans="1:14" ht="31.5">
      <c r="A1" s="69" t="s">
        <v>0</v>
      </c>
      <c r="B1" s="69" t="s">
        <v>45</v>
      </c>
      <c r="C1" s="69" t="s">
        <v>46</v>
      </c>
      <c r="D1" s="69" t="s">
        <v>47</v>
      </c>
      <c r="E1" s="69" t="s">
        <v>48</v>
      </c>
      <c r="F1" s="69" t="s">
        <v>102</v>
      </c>
      <c r="G1" s="69" t="s">
        <v>49</v>
      </c>
      <c r="H1" s="69" t="s">
        <v>50</v>
      </c>
      <c r="I1" s="69" t="s">
        <v>32</v>
      </c>
      <c r="J1" s="69" t="s">
        <v>51</v>
      </c>
      <c r="K1" s="69" t="s">
        <v>106</v>
      </c>
    </row>
    <row r="2" spans="1:14" ht="47.25">
      <c r="A2" s="95" t="s">
        <v>12</v>
      </c>
      <c r="B2" s="13" t="s">
        <v>105</v>
      </c>
      <c r="C2" s="13" t="s">
        <v>146</v>
      </c>
      <c r="D2" s="13" t="s">
        <v>145</v>
      </c>
      <c r="E2" s="13" t="s">
        <v>105</v>
      </c>
      <c r="F2" s="13" t="s">
        <v>105</v>
      </c>
      <c r="G2" s="13" t="s">
        <v>105</v>
      </c>
      <c r="H2" s="13" t="s">
        <v>105</v>
      </c>
      <c r="I2" s="13"/>
      <c r="J2" s="19">
        <v>200000</v>
      </c>
      <c r="K2" s="14" t="s">
        <v>301</v>
      </c>
      <c r="M2" t="s">
        <v>297</v>
      </c>
      <c r="N2" s="71">
        <v>46176</v>
      </c>
    </row>
    <row r="3" spans="1:14" ht="141.75">
      <c r="A3" s="96"/>
      <c r="B3" s="13" t="s">
        <v>105</v>
      </c>
      <c r="C3" s="13" t="s">
        <v>151</v>
      </c>
      <c r="D3" s="13" t="s">
        <v>150</v>
      </c>
      <c r="E3" s="13" t="s">
        <v>152</v>
      </c>
      <c r="F3" s="13" t="s">
        <v>114</v>
      </c>
      <c r="G3" s="13" t="s">
        <v>105</v>
      </c>
      <c r="H3" s="13" t="s">
        <v>105</v>
      </c>
      <c r="I3" s="13"/>
      <c r="J3" s="19">
        <v>176007</v>
      </c>
      <c r="K3" s="14" t="s">
        <v>301</v>
      </c>
    </row>
    <row r="4" spans="1:14" ht="141.75">
      <c r="A4" s="96"/>
      <c r="B4" s="13" t="s">
        <v>105</v>
      </c>
      <c r="C4" s="13" t="s">
        <v>153</v>
      </c>
      <c r="D4" s="13" t="s">
        <v>144</v>
      </c>
      <c r="E4" s="13" t="s">
        <v>152</v>
      </c>
      <c r="F4" s="13" t="s">
        <v>114</v>
      </c>
      <c r="G4" s="13" t="s">
        <v>105</v>
      </c>
      <c r="H4" s="13" t="s">
        <v>105</v>
      </c>
      <c r="I4" s="13"/>
      <c r="J4" s="19">
        <v>500000</v>
      </c>
      <c r="K4" s="14" t="s">
        <v>302</v>
      </c>
    </row>
    <row r="5" spans="1:14" ht="15.75">
      <c r="A5" s="96"/>
      <c r="B5" s="13" t="s">
        <v>105</v>
      </c>
      <c r="C5" s="13"/>
      <c r="D5" s="13"/>
      <c r="E5" s="13" t="s">
        <v>105</v>
      </c>
      <c r="F5" s="13"/>
      <c r="G5" s="13" t="s">
        <v>105</v>
      </c>
      <c r="H5" s="13" t="s">
        <v>105</v>
      </c>
      <c r="I5" s="13"/>
      <c r="J5" s="19"/>
      <c r="K5" s="14"/>
    </row>
    <row r="6" spans="1:14" ht="15.75">
      <c r="A6" s="97"/>
      <c r="B6" s="13" t="s">
        <v>105</v>
      </c>
      <c r="C6" s="13"/>
      <c r="D6" s="13"/>
      <c r="E6" s="13" t="s">
        <v>105</v>
      </c>
      <c r="F6" s="13"/>
      <c r="G6" s="13" t="s">
        <v>105</v>
      </c>
      <c r="H6" s="13" t="s">
        <v>105</v>
      </c>
      <c r="I6" s="13"/>
      <c r="J6" s="19"/>
      <c r="K6" s="14"/>
    </row>
    <row r="7" spans="1:14" ht="3.75" customHeight="1">
      <c r="A7" s="98"/>
      <c r="B7" s="99"/>
      <c r="C7" s="99"/>
      <c r="D7" s="99"/>
      <c r="E7" s="99"/>
      <c r="F7" s="99"/>
      <c r="G7" s="99"/>
      <c r="H7" s="99"/>
      <c r="I7" s="99"/>
      <c r="J7" s="99"/>
      <c r="K7" s="100"/>
    </row>
    <row r="8" spans="1:14" ht="31.5">
      <c r="A8" s="101" t="s">
        <v>14</v>
      </c>
      <c r="B8" s="13" t="s">
        <v>105</v>
      </c>
      <c r="C8" s="13" t="s">
        <v>143</v>
      </c>
      <c r="D8" s="13" t="s">
        <v>144</v>
      </c>
      <c r="E8" s="13" t="s">
        <v>105</v>
      </c>
      <c r="F8" s="13" t="s">
        <v>105</v>
      </c>
      <c r="G8" s="13" t="s">
        <v>104</v>
      </c>
      <c r="H8" s="19" t="s">
        <v>104</v>
      </c>
      <c r="I8" s="19"/>
      <c r="J8" s="19">
        <v>1000000</v>
      </c>
      <c r="K8" s="14" t="s">
        <v>303</v>
      </c>
    </row>
    <row r="9" spans="1:14" ht="63">
      <c r="A9" s="102"/>
      <c r="B9" s="13" t="s">
        <v>105</v>
      </c>
      <c r="C9" s="13" t="s">
        <v>147</v>
      </c>
      <c r="D9" s="13" t="s">
        <v>149</v>
      </c>
      <c r="E9" s="13" t="s">
        <v>105</v>
      </c>
      <c r="F9" s="13" t="s">
        <v>148</v>
      </c>
      <c r="G9" s="13" t="s">
        <v>104</v>
      </c>
      <c r="H9" s="19" t="s">
        <v>104</v>
      </c>
      <c r="I9" s="19"/>
      <c r="J9" s="19">
        <v>2000000</v>
      </c>
      <c r="K9" s="14" t="s">
        <v>301</v>
      </c>
    </row>
    <row r="10" spans="1:14" ht="15.75">
      <c r="A10" s="102"/>
      <c r="B10" s="13" t="s">
        <v>105</v>
      </c>
      <c r="C10" s="13"/>
      <c r="D10" s="13"/>
      <c r="E10" s="13" t="s">
        <v>105</v>
      </c>
      <c r="F10" s="13"/>
      <c r="G10" s="13" t="s">
        <v>104</v>
      </c>
      <c r="H10" s="19" t="s">
        <v>104</v>
      </c>
      <c r="I10" s="19"/>
      <c r="J10" s="19"/>
      <c r="K10" s="14"/>
    </row>
    <row r="11" spans="1:14" ht="15.75">
      <c r="A11" s="102"/>
      <c r="B11" s="13" t="s">
        <v>105</v>
      </c>
      <c r="C11" s="13"/>
      <c r="D11" s="13"/>
      <c r="E11" s="13" t="s">
        <v>105</v>
      </c>
      <c r="F11" s="13"/>
      <c r="G11" s="13" t="s">
        <v>104</v>
      </c>
      <c r="H11" s="19" t="s">
        <v>104</v>
      </c>
      <c r="I11" s="19"/>
      <c r="J11" s="19"/>
      <c r="K11" s="14"/>
    </row>
  </sheetData>
  <mergeCells count="3">
    <mergeCell ref="A2:A6"/>
    <mergeCell ref="A7:K7"/>
    <mergeCell ref="A8:A1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1</vt:i4>
      </vt:variant>
    </vt:vector>
  </HeadingPairs>
  <TitlesOfParts>
    <vt:vector size="6" baseType="lpstr">
      <vt:lpstr>ADITIVOS ANTIGOS</vt:lpstr>
      <vt:lpstr>VIGENTES</vt:lpstr>
      <vt:lpstr>INDENIZATÓRIO</vt:lpstr>
      <vt:lpstr>EMENDAS 2024 E 2025</vt:lpstr>
      <vt:lpstr>EMENDAS 2026</vt:lpstr>
      <vt:lpstr>VIGENTES!Area_de_impressao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Claudio Henrique</dc:creator>
  <cp:lastModifiedBy>Marina Marina Mota França</cp:lastModifiedBy>
  <cp:lastPrinted>2026-05-04T12:51:53Z</cp:lastPrinted>
  <dcterms:created xsi:type="dcterms:W3CDTF">2020-11-16T18:37:00Z</dcterms:created>
  <dcterms:modified xsi:type="dcterms:W3CDTF">2026-07-01T19:23:57Z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34CF0DF798E54214B1FBCCE195B5AA83</vt:lpwstr>
  </property>
  <property fmtid="{D5CDD505-2E9C-101B-9397-08002B2CF9AE}" pid="3" name="KSOProductBuildVer">
    <vt:lpwstr>2057-11.2.0.11440</vt:lpwstr>
  </property>
</Properties>
</file>