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1" sheetId="1" r:id="rId4"/>
    <sheet state="visible" name="PROPOSTA-PD" sheetId="2" r:id="rId5"/>
    <sheet state="visible" name="Página1" sheetId="3" r:id="rId6"/>
  </sheets>
  <definedNames/>
  <calcPr/>
  <extLst>
    <ext uri="GoogleSheetsCustomDataVersion2">
      <go:sheetsCustomData xmlns:go="http://customooxmlschemas.google.com/" r:id="rId7" roundtripDataChecksum="lx7JedVxOJFTLzz9c0yN2ytIljdDdmDlcIL/0o+xO0A="/>
    </ext>
  </extLst>
</workbook>
</file>

<file path=xl/sharedStrings.xml><?xml version="1.0" encoding="utf-8"?>
<sst xmlns="http://schemas.openxmlformats.org/spreadsheetml/2006/main" count="1072" uniqueCount="302">
  <si>
    <t>ESTABELECIMENTO:    CENTRO ASSISTENCIAL ELGITHA BRANDÃO  (CNES: 2457776)</t>
  </si>
  <si>
    <t>METAS FÍSICAS E FINANCEIRAS</t>
  </si>
  <si>
    <t>PLANO OPERATIVO VIGÊNCIA 03/03/2025 A 02/03/2026</t>
  </si>
  <si>
    <t>METAS AMBULATORIAIS</t>
  </si>
  <si>
    <t>CÓDIGO</t>
  </si>
  <si>
    <t>DESCRIÇÃO PROCEDIMENTO</t>
  </si>
  <si>
    <t>COMPLEXIDADE</t>
  </si>
  <si>
    <t>TIPO DE FINANCIAMENTO</t>
  </si>
  <si>
    <t>CUSTO MÉDIO</t>
  </si>
  <si>
    <t>META FÍSICA ESTIMADA</t>
  </si>
  <si>
    <t>META FINANCEIRA ESTIMADA</t>
  </si>
  <si>
    <t>MENSAL</t>
  </si>
  <si>
    <t>ANUAL</t>
  </si>
  <si>
    <t>GRUPO - 02 - PROCEDIMENTOS COM FINALIDADE DIAGNÓSTICA</t>
  </si>
  <si>
    <t>SUB-GRUPO  02 - Diagnóstico em Laboratório Clínico</t>
  </si>
  <si>
    <t>020201012</t>
  </si>
  <si>
    <t>Dosagem de Ácido Úrico</t>
  </si>
  <si>
    <t>MC</t>
  </si>
  <si>
    <t>MAC</t>
  </si>
  <si>
    <t>020201018</t>
  </si>
  <si>
    <t>Dosagem de Amilase</t>
  </si>
  <si>
    <t>020201020</t>
  </si>
  <si>
    <t>Dosagem de Bilirrubina Total e Frações</t>
  </si>
  <si>
    <t>020201021</t>
  </si>
  <si>
    <t>Dosagem de Cálcio</t>
  </si>
  <si>
    <t>020201022</t>
  </si>
  <si>
    <t>Dosagem de Cálcio Ionizável</t>
  </si>
  <si>
    <t>020201027</t>
  </si>
  <si>
    <t>Dosagem de Colesterol HDL</t>
  </si>
  <si>
    <t>020201028</t>
  </si>
  <si>
    <t>Dosagem de Colesterol LDL</t>
  </si>
  <si>
    <t>020201029</t>
  </si>
  <si>
    <t>Dosagem de Colesterol Total</t>
  </si>
  <si>
    <t>020201031</t>
  </si>
  <si>
    <t>Dosagem de Creatinina</t>
  </si>
  <si>
    <t>020201032</t>
  </si>
  <si>
    <t>Dosagem de Creatinofosfoquinase (CPK)</t>
  </si>
  <si>
    <t>020201038</t>
  </si>
  <si>
    <t>Dosagem de Ferritina</t>
  </si>
  <si>
    <t>020201039</t>
  </si>
  <si>
    <t>Dosagem de Ferro Sérico</t>
  </si>
  <si>
    <t>020201042</t>
  </si>
  <si>
    <t>Dosagem de Fosfatase Alcalina</t>
  </si>
  <si>
    <t>020201043</t>
  </si>
  <si>
    <t>Dosagem de Fósforo</t>
  </si>
  <si>
    <t>020201044</t>
  </si>
  <si>
    <t>Dosagem de Fração Prostática da Fosfatase Ácida</t>
  </si>
  <si>
    <t>020201046</t>
  </si>
  <si>
    <t>Dosagem de Gama-Glutamil-Transferase (Gama GT)</t>
  </si>
  <si>
    <t>020201047</t>
  </si>
  <si>
    <t>Dosagem de Glicose</t>
  </si>
  <si>
    <t>020201050</t>
  </si>
  <si>
    <t>Dosagem de Hemoglobina Glicosilada</t>
  </si>
  <si>
    <t>020201055</t>
  </si>
  <si>
    <t>Dosagem de Lipase</t>
  </si>
  <si>
    <t>020201056</t>
  </si>
  <si>
    <t>Dosagem de Magnésio</t>
  </si>
  <si>
    <t>020201060</t>
  </si>
  <si>
    <t>Dosagem de Potássio</t>
  </si>
  <si>
    <t>020201061</t>
  </si>
  <si>
    <t>Dosagem de Proteínas Totais</t>
  </si>
  <si>
    <t>020201062</t>
  </si>
  <si>
    <t>Dosagem de Proteínas Totais e Frações</t>
  </si>
  <si>
    <t>020201063</t>
  </si>
  <si>
    <t>Dosagem de Sódio</t>
  </si>
  <si>
    <t>020201064</t>
  </si>
  <si>
    <t>Dosagem de Transaminase Glutamico-Oxalacetica(TGO)</t>
  </si>
  <si>
    <t>020201065</t>
  </si>
  <si>
    <t>Dosagem de Transaminase Glutamico-Piruvica(TGP)</t>
  </si>
  <si>
    <t>020201067</t>
  </si>
  <si>
    <t>Dosagem de Triglicerídeos</t>
  </si>
  <si>
    <t>020201069</t>
  </si>
  <si>
    <t>Dosagem de Ureia</t>
  </si>
  <si>
    <t>020201070</t>
  </si>
  <si>
    <t>Dosagem de Vitamina B12</t>
  </si>
  <si>
    <t>020201076</t>
  </si>
  <si>
    <t>Dosagem de Vitamina Hidroxivitamina D</t>
  </si>
  <si>
    <t>020202007</t>
  </si>
  <si>
    <t>Determinação de Tempo de coagulação</t>
  </si>
  <si>
    <t>020202015</t>
  </si>
  <si>
    <t>Determinação de Velocidade de Hemossedimentação (VHS)</t>
  </si>
  <si>
    <t>020202035</t>
  </si>
  <si>
    <t>Eletroforese de Hemoglobina</t>
  </si>
  <si>
    <t>020202038</t>
  </si>
  <si>
    <t>Hemograma Completo</t>
  </si>
  <si>
    <t>020202054</t>
  </si>
  <si>
    <t>Teste Direto de Anti Globulina Humana (TAD)</t>
  </si>
  <si>
    <t>020203007</t>
  </si>
  <si>
    <t>Determinação de Fator Reumatóide</t>
  </si>
  <si>
    <t>020203008</t>
  </si>
  <si>
    <t>Determinação Quantitativa de Proteína C Reativa</t>
  </si>
  <si>
    <t>020203030</t>
  </si>
  <si>
    <t>Pesq Anticorpos anti-hiv-1+hiv-2(elisa)-Sorolog p/HIV</t>
  </si>
  <si>
    <t>020203047</t>
  </si>
  <si>
    <t>Pesquisa  Anticorpos Antiestreptolisina O (ASLO)</t>
  </si>
  <si>
    <t>020203067</t>
  </si>
  <si>
    <t>Pesquisa de Anticorpos Contra o Vírus da Hepatite C</t>
  </si>
  <si>
    <t>020203076</t>
  </si>
  <si>
    <t>Pesquisa de Anticorpos IGG Antitoxoplasma</t>
  </si>
  <si>
    <t>020203087</t>
  </si>
  <si>
    <t>Pesquisa de Anticorpos IGM Antitoxoplasma</t>
  </si>
  <si>
    <t>020203092</t>
  </si>
  <si>
    <t>Pesquisa de Anticorpos IGM Contra o Vírus da Rubeola</t>
  </si>
  <si>
    <t>020203097</t>
  </si>
  <si>
    <t xml:space="preserve">Pesq Ant sup virus de Hepat B(Hbsag) -Sorologia p/hepatite B </t>
  </si>
  <si>
    <t>020203111</t>
  </si>
  <si>
    <t>Teste não Treponêmico p/detecção de Sífilis (VDRL)</t>
  </si>
  <si>
    <t>020203117</t>
  </si>
  <si>
    <t>Teste Ñ Treponêmico p/detecção Sífilis gestantes (VDRL)</t>
  </si>
  <si>
    <t>020204012</t>
  </si>
  <si>
    <t>Pesquisa de Ovos e Cistos de Parasitas</t>
  </si>
  <si>
    <t>020204014</t>
  </si>
  <si>
    <t>Pesquisa de Sangue Oculto nas Fezes</t>
  </si>
  <si>
    <t>020205001</t>
  </si>
  <si>
    <t>Anális de Caracteres Físicos. Elem. e sedim. Urina</t>
  </si>
  <si>
    <t>020205002</t>
  </si>
  <si>
    <t>Clearance de Creatinina</t>
  </si>
  <si>
    <t>020206016</t>
  </si>
  <si>
    <t>Dosagem de Estradiol</t>
  </si>
  <si>
    <t>020206021</t>
  </si>
  <si>
    <t>Dosagem de Gonadotrofina Corionica Humana</t>
  </si>
  <si>
    <t>020206023</t>
  </si>
  <si>
    <t>Dosagem de Hormônio Folículo-Estimulante (FSH)</t>
  </si>
  <si>
    <t>020206025</t>
  </si>
  <si>
    <t>Dosagem de Hormônio Tiroestimulante (TSH)</t>
  </si>
  <si>
    <t>020206026</t>
  </si>
  <si>
    <t>Dosagem de Insulina</t>
  </si>
  <si>
    <t>020206029</t>
  </si>
  <si>
    <t>Dosagem de Progesterona</t>
  </si>
  <si>
    <t>020206030</t>
  </si>
  <si>
    <t>Dosagem de Prolactina</t>
  </si>
  <si>
    <t>020206034</t>
  </si>
  <si>
    <t>Dosagem de Testosterona</t>
  </si>
  <si>
    <t>020206037</t>
  </si>
  <si>
    <t>Dosagem de Tiroxina (T4)</t>
  </si>
  <si>
    <t>020206038</t>
  </si>
  <si>
    <t>Dosagem de Tiroxina Livre (T4)</t>
  </si>
  <si>
    <t>020206039</t>
  </si>
  <si>
    <t>Dosagem de Triiodotironina (T3)</t>
  </si>
  <si>
    <t>020208001</t>
  </si>
  <si>
    <t>Antibiograma</t>
  </si>
  <si>
    <t>020212002</t>
  </si>
  <si>
    <t>Determinação Direta e Reversa de Grupo ABO</t>
  </si>
  <si>
    <t>020212008</t>
  </si>
  <si>
    <t>Pesquisa de Fator RH (Inclui D Fraco)</t>
  </si>
  <si>
    <t>020212009</t>
  </si>
  <si>
    <t>Teste Indireto de Antiglobulina Humana (TIA)</t>
  </si>
  <si>
    <t>Pesquisa de anticorpos IGG anticitomegalovirus</t>
  </si>
  <si>
    <t>11,00</t>
  </si>
  <si>
    <t>0202030857</t>
  </si>
  <si>
    <t>Pesquisa de anticorpos IGM  anticitomegalovirus</t>
  </si>
  <si>
    <t>11,61</t>
  </si>
  <si>
    <t>0202030636</t>
  </si>
  <si>
    <t>Pesquisa de anticorpos contra antígeno hepatite B (Anti-HBS)</t>
  </si>
  <si>
    <t>18,55</t>
  </si>
  <si>
    <t>Pesquisa de anticorposANTI-HTLV-1 + HTLV-2</t>
  </si>
  <si>
    <t>0202050300 </t>
  </si>
  <si>
    <t>Pesquisa de Proteínas Urinárias (POR ELETROFORESE)</t>
  </si>
  <si>
    <t>4,44</t>
  </si>
  <si>
    <t>Total Sub-Grupo 02</t>
  </si>
  <si>
    <t>SUB-GRUPO  5 - Diagnóstico por Ultrassonografia</t>
  </si>
  <si>
    <t>020502004</t>
  </si>
  <si>
    <t>Ultrassonografia de Abdomen Total</t>
  </si>
  <si>
    <t>020502005</t>
  </si>
  <si>
    <t>Ultrassonografia de Aparelho Urinário</t>
  </si>
  <si>
    <t>020502010</t>
  </si>
  <si>
    <t>Ultrassonografia de Próstata (Via Abdominal)</t>
  </si>
  <si>
    <t>020502014</t>
  </si>
  <si>
    <t>Ultrassonografia Obstétrica</t>
  </si>
  <si>
    <t>Ultrassografia Mamária Bilateral</t>
  </si>
  <si>
    <t>Ultrassonografia de Tireóide</t>
  </si>
  <si>
    <t>Ultrassonografia de Articulação</t>
  </si>
  <si>
    <t>020502018</t>
  </si>
  <si>
    <t>Ultra-Sonografia Transvaginal</t>
  </si>
  <si>
    <t>Total Sub-Grupo 05</t>
  </si>
  <si>
    <t>SUB-GRUPO  11 - Métodos diagnósticos em especialidades</t>
  </si>
  <si>
    <t>021105011</t>
  </si>
  <si>
    <t>Potencial Evocado Auditivo</t>
  </si>
  <si>
    <t>021107002</t>
  </si>
  <si>
    <t>Audiometria de Reforço Visual (via area e ossea)</t>
  </si>
  <si>
    <t>021107003</t>
  </si>
  <si>
    <t>Audiometria em Campo Livre</t>
  </si>
  <si>
    <t>021107004</t>
  </si>
  <si>
    <t>Audiometria Tonal Limiar</t>
  </si>
  <si>
    <t>021107005</t>
  </si>
  <si>
    <t>Avaliação Auditiva Comportamental</t>
  </si>
  <si>
    <t>021107006</t>
  </si>
  <si>
    <t>Avaliação de linguagem escrita/leitura</t>
  </si>
  <si>
    <t>021107007</t>
  </si>
  <si>
    <t>Avaliação de linguagem Oral</t>
  </si>
  <si>
    <t>021107008</t>
  </si>
  <si>
    <t>Avaliação Miofuncional do Sistema Estomat. (Linguinha)</t>
  </si>
  <si>
    <t>021107011</t>
  </si>
  <si>
    <t>Avalição Vocal</t>
  </si>
  <si>
    <t>021107014</t>
  </si>
  <si>
    <t>Emissões Otoacusticas Evocadas p/Triagem Auditiva - Orelhinha</t>
  </si>
  <si>
    <t>021107015</t>
  </si>
  <si>
    <t xml:space="preserve">Estudo de Emissões Otoacústicas Evocadas </t>
  </si>
  <si>
    <t>021107020</t>
  </si>
  <si>
    <t>Imitanciometria</t>
  </si>
  <si>
    <t>021107021</t>
  </si>
  <si>
    <t>Logoaudiometria</t>
  </si>
  <si>
    <t>021107026</t>
  </si>
  <si>
    <t>Potencial Evocado de Curta  média e Longa Latencia</t>
  </si>
  <si>
    <t>021107036</t>
  </si>
  <si>
    <t>Triagem Auditiva de Escolares</t>
  </si>
  <si>
    <t>TOTAL DO GRUPO 2</t>
  </si>
  <si>
    <t xml:space="preserve">GRUPO  03 - PROCEDIMENTOS CLÍNICOS          </t>
  </si>
  <si>
    <t>SUB-GRUPO  01 - Consultas/Atendimentos/Acompanhamentos</t>
  </si>
  <si>
    <t>030101004</t>
  </si>
  <si>
    <t>Cons. Prof. Nív. Superior Aten. Espec.(exceto Méd.)</t>
  </si>
  <si>
    <t>030101007</t>
  </si>
  <si>
    <t>Consulta Médica em Atenção Especializada</t>
  </si>
  <si>
    <t>030104003</t>
  </si>
  <si>
    <t>Terapia em Grupo</t>
  </si>
  <si>
    <t>030107002</t>
  </si>
  <si>
    <t>Acompanh pac em reabilit em comunicação altern</t>
  </si>
  <si>
    <t>030107004</t>
  </si>
  <si>
    <t>Acompan neuropsicológico pacien em reabilitação</t>
  </si>
  <si>
    <t>030107005</t>
  </si>
  <si>
    <t>Acompanhamento Psicopedagógico</t>
  </si>
  <si>
    <t>030107006</t>
  </si>
  <si>
    <t>Atendim/acompanh em reabilit nas multiplas defic</t>
  </si>
  <si>
    <t>030107007</t>
  </si>
  <si>
    <t>Atendim/acompan reabilit no desenv neuropsicomotor</t>
  </si>
  <si>
    <t>030107011</t>
  </si>
  <si>
    <t>Terapia Fonoaudiológica Individual</t>
  </si>
  <si>
    <t>Total Sub-Grupo 01</t>
  </si>
  <si>
    <t>SUB-GRUPO  02 - Fisioterapia (10 sessões por paciente)</t>
  </si>
  <si>
    <t>Atend.Fisioterap em Pac. No PRÉ e PÓS operatório nas disf, M/E</t>
  </si>
  <si>
    <t>Atend.Fisio. Nas alterações motoras</t>
  </si>
  <si>
    <t>Atend Fisio em pac.no PRÉ e PÓS operat. Nas disf. M/E c/complic</t>
  </si>
  <si>
    <t>Atend  Fisio em pac C/ COMPROMETIMENTO COGNITIVO</t>
  </si>
  <si>
    <t>Total Grupo 03</t>
  </si>
  <si>
    <t>TOTAL METAS AMBULATORIAIS</t>
  </si>
  <si>
    <t>020201026</t>
  </si>
  <si>
    <t>Dosagem de Cloreto</t>
  </si>
  <si>
    <t>020201033</t>
  </si>
  <si>
    <t>Dosagem de creatinofosfoquinase Fração MB</t>
  </si>
  <si>
    <t>Dosagem de desidrogenase latica</t>
  </si>
  <si>
    <t>Dosagem de Folato</t>
  </si>
  <si>
    <t>Dosagem de Fosfatase Ácida total</t>
  </si>
  <si>
    <t>Dosagem de transferrina</t>
  </si>
  <si>
    <t>Eletroforese de Proteinas</t>
  </si>
  <si>
    <t>Determinação de tempo de sangramento - DUKE</t>
  </si>
  <si>
    <t>Determinação de tempo de Trombina</t>
  </si>
  <si>
    <t>Determinação de tempo de tromboplastina parcial ativada (TTP ATIVADA)</t>
  </si>
  <si>
    <t>Determinação de tempo e atividade da protrombina (TAP)</t>
  </si>
  <si>
    <t>Dosagem de alfa-fetoproteina</t>
  </si>
  <si>
    <t>Dosagem de antigeno prostatico especifico (PSA)</t>
  </si>
  <si>
    <t>Dosagem de proteina C reativa</t>
  </si>
  <si>
    <t>PESQUISA LABORATORIAL DE ANTICORPOS CONTRA O VÍRUS DA HEPATITE C (ANTI-HCV) PARA POPULAÇÃO GERAL (EXCETO GESTANTE, PARCEIRO OU PARCERIA)</t>
  </si>
  <si>
    <t xml:space="preserve">PESQUISA LABORATORIAL DE ANTÍGENOS DE HIV E/OU ANTICORPOS ANTI-HIV-1 OU ANTI-HIV-2 PARA POPULAÇÃO GERAL (EXCETO GESTANTE, PARCEIRO OU PARCERIA)
</t>
  </si>
  <si>
    <t>proc/novo</t>
  </si>
  <si>
    <t xml:space="preserve">PESQUISA LABORATORIAL DE ANTÍGENO DE SUPERFÍCIE DO VÍRUS DA HEPATITE B (HBSAG) PARA POPULAÇÃO GERAL (EXCETO GESTANTE, PARCEIRO OU PARCERIA)
</t>
  </si>
  <si>
    <t>TESTE NÃO TREPONEMICO P/ DETECÇÃO DE SIFILIS PARA POPULAÇÃO GERAL (EXCETO GESTANTE, PARCEIRO OU PARCERIA)</t>
  </si>
  <si>
    <t>DOSAGEM DE HORMONIO LUTEINIZANTE (LH)</t>
  </si>
  <si>
    <t>PESQUISA LABORATORIAL DE ANTICORPOS ANTI-HTLV-1 + HTLV-2 
PARA POPULAÇÃO GERAL (EXCETO GESTANTE, PARCEIRO OU PARCERIA)</t>
  </si>
  <si>
    <t>PESQUISA LABORATORIAL DE ANTICORPOS ANTI-HTLV-1 + HTLV-2
 EM GESTANTE</t>
  </si>
  <si>
    <t>Total Sub-Grupo 02 (Diagnóstico em Laboratório Clínico)</t>
  </si>
  <si>
    <t>Total Sub-Grupo 05 ( Diagnóstico por Ultrassonografia)</t>
  </si>
  <si>
    <t>CBO Otorrino</t>
  </si>
  <si>
    <t>Total Sub-Grupo 11 (Métodos diagnósticos em especialidades)</t>
  </si>
  <si>
    <t>TOTAL DO GRUPO 2 - PROCEDIMENTOS COM FINALIDADE DIAGNÓSTICA</t>
  </si>
  <si>
    <t>Total Sub-Grupo 01 (Consultas/Atendimentos/Acompanhamentos)</t>
  </si>
  <si>
    <t>SUB-GRUPO  02 - Fisioterapia Adulto(10 sessões por paciente)</t>
  </si>
  <si>
    <t xml:space="preserve">ATENDIMENTO FISIOTERAPÊUTICO EM PACIENTES NO PRÉ E
 PÓS-OPERATÓRIO NAS DISFUNÇÕES MÚSCULO ESCELÉTICAS </t>
  </si>
  <si>
    <t xml:space="preserve">ATENDIMENTO FISIOTERAPÊUTICO EM PACIENTES NO PRÉ E PÓS-OPERATÓRIO NAS DISFUNÇÕES MUSCULO-           
 ESQUELÉTICAS C/ COMPLICAÇÕES SISTÊMICAS </t>
  </si>
  <si>
    <t>ATENDIMENTO FISIOTERAPÊUTICO EM PACIENTES COM DISTÚRBIOS 
NEURO-CINÉTICO-FUNCIONAIS COM COMPLICAÇÕES SISTÊMICAS</t>
  </si>
  <si>
    <t>ACOMPANHAMENTO NEUROPSICOLÓGICO DE PACIENTE EM REABILITAÇÃO</t>
  </si>
  <si>
    <t>Total Sub-Grupo 02 (ADULTOS)</t>
  </si>
  <si>
    <t>SUB-GRUPO  02 - Fisioterapia Infantil (10 sessões por paciente)</t>
  </si>
  <si>
    <t>Total Sub-Grupo 02 (Infantil)</t>
  </si>
  <si>
    <t>Total Sub-Grupo 02 (FISIOTERAPIAS)</t>
  </si>
  <si>
    <t xml:space="preserve">TOTAL GRUPO 03 - PROCEDIMENTOS CLÍNICOS      </t>
  </si>
  <si>
    <t>GRUPO 04 - PROCEDIMENTOS CIRURGICOS</t>
  </si>
  <si>
    <t>SUB-GRUPO  04 - Cirurgia das vias aéreas sup. Da face, da cabeça e pescoço</t>
  </si>
  <si>
    <t>040401027-0</t>
  </si>
  <si>
    <t>Remoção de Cerumen de conduto auditivo externo uni/bilateral</t>
  </si>
  <si>
    <t>SUB-GRUPO  01 - Consultas/Atendimentos/Acompanhamentos (ABA/ 60 crianças)</t>
  </si>
  <si>
    <t>ESTIMULAÇÃO PRECOCE RELACIONADA AO NEURODESENVOLVIMENTO NA ATENÇÃO ESPECIALIZADA</t>
  </si>
  <si>
    <t>03.01.04.003-6</t>
  </si>
  <si>
    <t>TERAPIA EM GRUPO</t>
  </si>
  <si>
    <t xml:space="preserve">03.01.07.002-4 </t>
  </si>
  <si>
    <t>ACOMPANHAMENTO DE PACIENTE EM REABILITACAO EM COMUNICACAO ALTERNATIVA</t>
  </si>
  <si>
    <t xml:space="preserve">03.01.07.004-0 </t>
  </si>
  <si>
    <t>03.01.07.005-9</t>
  </si>
  <si>
    <t>ACOMPANHAMENTO PSICOPEDAGOGICO DE PACIENTE EM REABILITACAO</t>
  </si>
  <si>
    <t xml:space="preserve">03.01.07.006-7 </t>
  </si>
  <si>
    <t>ATENDIMENTO / ACOMPANHAMENTO EM REABILITAÇÃO NAS MULTIPLAS DEFICIÊNCIAS</t>
  </si>
  <si>
    <t>03.01.07.007-5</t>
  </si>
  <si>
    <t>ATENDIMENTO / ACOMPANHAMENTO DE PACIENTE EM REABILITACAO DO DESENVOLVIMENTO NEUROPSICOMOTOR</t>
  </si>
  <si>
    <t>03.01.07.011-3</t>
  </si>
  <si>
    <t>TERAPIA FONOAUDIOLÓGICA INDIVIDUAL</t>
  </si>
  <si>
    <t>03.01.07.028-8</t>
  </si>
  <si>
    <t>ALTA POR OBJETIVOS TERAPÊUTICOS ALCANÇADOS DA REABILITAÇÃO NA ATENÇÃO ESPECIALIZADA</t>
  </si>
  <si>
    <t>-</t>
  </si>
  <si>
    <t>TOTAL ABA</t>
  </si>
  <si>
    <t>TOTAL METAS AMBULATORIAIS + ABA</t>
  </si>
  <si>
    <t>6 º aditivo - 03/03/25 a 02/03/26</t>
  </si>
  <si>
    <t>Diferença</t>
  </si>
  <si>
    <t>SUB-GRUPO  01 - Consultas/Atendimentos/Acompanhamentos (ABA/ 60 crianças - 6 sessões de terapia)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</si>
</sst>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R$ -416]#,##0.00"/>
    <numFmt numFmtId="165" formatCode="&quot;R$&quot;\ #,##0.00"/>
    <numFmt numFmtId="166" formatCode="_(* #,##0_);_(* \(#,##0\);_(* &quot;-&quot;??_);_(@_)"/>
  </numFmts>
  <fonts count="1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/>
    <font>
      <sz val="10.0"/>
      <color theme="1"/>
      <name val="Calibri"/>
    </font>
    <font>
      <sz val="11.0"/>
      <color theme="1"/>
      <name val="Times New Roman"/>
    </font>
    <font>
      <sz val="11.0"/>
      <color rgb="FF000000"/>
      <name val="Calibri"/>
    </font>
    <font>
      <b/>
      <sz val="11.0"/>
      <color rgb="FFFFFFFF"/>
      <name val="Calibri"/>
    </font>
    <font>
      <color theme="1"/>
      <name val="Calibri"/>
      <scheme val="minor"/>
    </font>
    <font>
      <sz val="9.0"/>
      <color theme="1"/>
      <name val="Calibri"/>
      <scheme val="minor"/>
    </font>
    <font>
      <b/>
      <sz val="11.0"/>
      <color rgb="FF000000"/>
      <name val="Calibri"/>
    </font>
    <font>
      <color rgb="FF000000"/>
      <name val="Calibri"/>
      <scheme val="minor"/>
    </font>
    <font>
      <b/>
      <color theme="1"/>
      <name val="Calibri"/>
      <scheme val="minor"/>
    </font>
    <font>
      <color rgb="FFFFFFFF"/>
      <name val="Calibri"/>
      <scheme val="minor"/>
    </font>
  </fonts>
  <fills count="20">
    <fill>
      <patternFill patternType="none"/>
    </fill>
    <fill>
      <patternFill patternType="lightGray"/>
    </fill>
    <fill>
      <patternFill patternType="solid">
        <fgColor rgb="FFC5E0B3"/>
        <bgColor rgb="FFC5E0B3"/>
      </patternFill>
    </fill>
    <fill>
      <patternFill patternType="solid">
        <fgColor rgb="FFE2EFD9"/>
        <bgColor rgb="FFE2EFD9"/>
      </patternFill>
    </fill>
    <fill>
      <patternFill patternType="solid">
        <fgColor rgb="FFB6D7A8"/>
        <bgColor rgb="FFB6D7A8"/>
      </patternFill>
    </fill>
    <fill>
      <patternFill patternType="solid">
        <fgColor theme="0"/>
        <bgColor theme="0"/>
      </patternFill>
    </fill>
    <fill>
      <patternFill patternType="solid">
        <fgColor rgb="FFDEEAF6"/>
        <bgColor rgb="FFDEEAF6"/>
      </patternFill>
    </fill>
    <fill>
      <patternFill patternType="solid">
        <fgColor rgb="FFD6DCE4"/>
        <bgColor rgb="FFD6DCE4"/>
      </patternFill>
    </fill>
    <fill>
      <patternFill patternType="solid">
        <fgColor rgb="FF666666"/>
        <bgColor rgb="FF666666"/>
      </patternFill>
    </fill>
    <fill>
      <patternFill patternType="solid">
        <fgColor rgb="FFD9D9D9"/>
        <bgColor rgb="FFD9D9D9"/>
      </patternFill>
    </fill>
    <fill>
      <patternFill patternType="solid">
        <fgColor rgb="FF3D85C6"/>
        <bgColor rgb="FF3D85C6"/>
      </patternFill>
    </fill>
    <fill>
      <patternFill patternType="solid">
        <fgColor rgb="FF9FC5E8"/>
        <bgColor rgb="FF9FC5E8"/>
      </patternFill>
    </fill>
    <fill>
      <patternFill patternType="solid">
        <fgColor rgb="FFF4CCCC"/>
        <bgColor rgb="FFF4CCCC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E6B8AF"/>
        <bgColor rgb="FFE6B8AF"/>
      </patternFill>
    </fill>
    <fill>
      <patternFill patternType="solid">
        <fgColor rgb="FFCCCCCC"/>
        <bgColor rgb="FFCCCCCC"/>
      </patternFill>
    </fill>
    <fill>
      <patternFill patternType="solid">
        <fgColor rgb="FFEFEFEF"/>
        <bgColor rgb="FFEFEFEF"/>
      </patternFill>
    </fill>
    <fill>
      <patternFill patternType="solid">
        <fgColor rgb="FFB7B7B7"/>
        <bgColor rgb="FFB7B7B7"/>
      </patternFill>
    </fill>
    <fill>
      <patternFill patternType="solid">
        <fgColor rgb="FF434343"/>
        <bgColor rgb="FF434343"/>
      </patternFill>
    </fill>
  </fills>
  <borders count="13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25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4" xfId="0" applyAlignment="1" applyFont="1" applyNumberFormat="1">
      <alignment horizontal="right"/>
    </xf>
    <xf borderId="0" fillId="0" fontId="2" numFmtId="3" xfId="0" applyAlignment="1" applyFont="1" applyNumberFormat="1">
      <alignment horizontal="right" vertical="center"/>
    </xf>
    <xf borderId="0" fillId="0" fontId="2" numFmtId="4" xfId="0" applyAlignment="1" applyFont="1" applyNumberFormat="1">
      <alignment horizontal="right" vertical="center"/>
    </xf>
    <xf borderId="1" fillId="2" fontId="1" numFmtId="0" xfId="0" applyAlignment="1" applyBorder="1" applyFill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0" fillId="0" fontId="2" numFmtId="4" xfId="0" applyFont="1" applyNumberFormat="1"/>
    <xf borderId="4" fillId="3" fontId="1" numFmtId="4" xfId="0" applyAlignment="1" applyBorder="1" applyFill="1" applyFont="1" applyNumberFormat="1">
      <alignment horizontal="center" vertical="center"/>
    </xf>
    <xf borderId="4" fillId="3" fontId="1" numFmtId="4" xfId="0" applyAlignment="1" applyBorder="1" applyFont="1" applyNumberFormat="1">
      <alignment horizontal="center" shrinkToFit="0" vertical="center" wrapText="1"/>
    </xf>
    <xf borderId="1" fillId="3" fontId="1" numFmtId="4" xfId="0" applyAlignment="1" applyBorder="1" applyFont="1" applyNumberFormat="1">
      <alignment horizontal="center" shrinkToFit="0" wrapText="1"/>
    </xf>
    <xf borderId="5" fillId="0" fontId="3" numFmtId="0" xfId="0" applyBorder="1" applyFont="1"/>
    <xf borderId="6" fillId="3" fontId="1" numFmtId="3" xfId="0" applyAlignment="1" applyBorder="1" applyFont="1" applyNumberFormat="1">
      <alignment horizontal="center" shrinkToFit="0" vertical="center" wrapText="1"/>
    </xf>
    <xf borderId="6" fillId="3" fontId="1" numFmtId="4" xfId="0" applyAlignment="1" applyBorder="1" applyFont="1" applyNumberFormat="1">
      <alignment horizontal="center" shrinkToFit="0" vertical="center" wrapText="1"/>
    </xf>
    <xf borderId="1" fillId="3" fontId="1" numFmtId="4" xfId="0" applyAlignment="1" applyBorder="1" applyFont="1" applyNumberFormat="1">
      <alignment horizontal="left" shrinkToFit="0" wrapText="1"/>
    </xf>
    <xf borderId="7" fillId="0" fontId="3" numFmtId="0" xfId="0" applyBorder="1" applyFont="1"/>
    <xf borderId="8" fillId="3" fontId="1" numFmtId="4" xfId="0" applyAlignment="1" applyBorder="1" applyFont="1" applyNumberFormat="1">
      <alignment horizontal="left" shrinkToFit="0" wrapText="1"/>
    </xf>
    <xf borderId="8" fillId="3" fontId="1" numFmtId="4" xfId="0" applyAlignment="1" applyBorder="1" applyFont="1" applyNumberFormat="1">
      <alignment horizontal="right" shrinkToFit="0" wrapText="1"/>
    </xf>
    <xf borderId="8" fillId="3" fontId="1" numFmtId="3" xfId="0" applyAlignment="1" applyBorder="1" applyFont="1" applyNumberFormat="1">
      <alignment horizontal="right" shrinkToFit="0" vertical="center" wrapText="1"/>
    </xf>
    <xf borderId="8" fillId="3" fontId="1" numFmtId="4" xfId="0" applyAlignment="1" applyBorder="1" applyFont="1" applyNumberFormat="1">
      <alignment horizontal="right" shrinkToFit="0" vertical="center" wrapText="1"/>
    </xf>
    <xf borderId="9" fillId="3" fontId="1" numFmtId="4" xfId="0" applyAlignment="1" applyBorder="1" applyFont="1" applyNumberFormat="1">
      <alignment horizontal="right" shrinkToFit="0" wrapText="1"/>
    </xf>
    <xf borderId="1" fillId="4" fontId="1" numFmtId="4" xfId="0" applyAlignment="1" applyBorder="1" applyFill="1" applyFont="1" applyNumberFormat="1">
      <alignment horizontal="left" vertical="center"/>
    </xf>
    <xf quotePrefix="1" borderId="10" fillId="0" fontId="2" numFmtId="4" xfId="0" applyAlignment="1" applyBorder="1" applyFont="1" applyNumberFormat="1">
      <alignment horizontal="center"/>
    </xf>
    <xf borderId="10" fillId="0" fontId="2" numFmtId="4" xfId="0" applyBorder="1" applyFont="1" applyNumberFormat="1"/>
    <xf borderId="10" fillId="0" fontId="2" numFmtId="0" xfId="0" applyAlignment="1" applyBorder="1" applyFont="1">
      <alignment horizontal="center"/>
    </xf>
    <xf borderId="10" fillId="0" fontId="2" numFmtId="164" xfId="0" applyAlignment="1" applyBorder="1" applyFont="1" applyNumberFormat="1">
      <alignment horizontal="right"/>
    </xf>
    <xf borderId="10" fillId="0" fontId="2" numFmtId="3" xfId="0" applyAlignment="1" applyBorder="1" applyFont="1" applyNumberFormat="1">
      <alignment horizontal="right" vertical="center"/>
    </xf>
    <xf borderId="10" fillId="0" fontId="2" numFmtId="4" xfId="0" applyAlignment="1" applyBorder="1" applyFont="1" applyNumberFormat="1">
      <alignment horizontal="right" vertical="center"/>
    </xf>
    <xf borderId="10" fillId="0" fontId="2" numFmtId="4" xfId="0" applyAlignment="1" applyBorder="1" applyFont="1" applyNumberFormat="1">
      <alignment horizontal="right"/>
    </xf>
    <xf quotePrefix="1" borderId="10" fillId="0" fontId="4" numFmtId="4" xfId="0" applyAlignment="1" applyBorder="1" applyFont="1" applyNumberFormat="1">
      <alignment horizontal="center"/>
    </xf>
    <xf borderId="1" fillId="0" fontId="2" numFmtId="3" xfId="0" applyAlignment="1" applyBorder="1" applyFont="1" applyNumberFormat="1">
      <alignment horizontal="right" vertical="center"/>
    </xf>
    <xf borderId="1" fillId="0" fontId="2" numFmtId="4" xfId="0" applyAlignment="1" applyBorder="1" applyFont="1" applyNumberFormat="1">
      <alignment horizontal="right" vertical="center"/>
    </xf>
    <xf borderId="10" fillId="0" fontId="5" numFmtId="4" xfId="0" applyBorder="1" applyFont="1" applyNumberFormat="1"/>
    <xf quotePrefix="1" borderId="1" fillId="0" fontId="2" numFmtId="4" xfId="0" applyAlignment="1" applyBorder="1" applyFont="1" applyNumberFormat="1">
      <alignment horizontal="center"/>
    </xf>
    <xf borderId="3" fillId="0" fontId="2" numFmtId="4" xfId="0" applyBorder="1" applyFont="1" applyNumberFormat="1"/>
    <xf quotePrefix="1" borderId="1" fillId="0" fontId="2" numFmtId="4" xfId="0" applyAlignment="1" applyBorder="1" applyFont="1" applyNumberFormat="1">
      <alignment horizontal="center" vertical="center"/>
    </xf>
    <xf borderId="3" fillId="0" fontId="2" numFmtId="4" xfId="0" applyAlignment="1" applyBorder="1" applyFont="1" applyNumberFormat="1">
      <alignment shrinkToFit="0" vertical="center" wrapText="1"/>
    </xf>
    <xf borderId="10" fillId="0" fontId="2" numFmtId="0" xfId="0" applyAlignment="1" applyBorder="1" applyFont="1">
      <alignment horizontal="center" vertical="center"/>
    </xf>
    <xf borderId="9" fillId="5" fontId="2" numFmtId="4" xfId="0" applyBorder="1" applyFill="1" applyFont="1" applyNumberFormat="1"/>
    <xf borderId="1" fillId="0" fontId="2" numFmtId="1" xfId="0" applyAlignment="1" applyBorder="1" applyFont="1" applyNumberFormat="1">
      <alignment horizontal="center" vertical="center"/>
    </xf>
    <xf quotePrefix="1" borderId="1" fillId="0" fontId="2" numFmtId="1" xfId="0" applyAlignment="1" applyBorder="1" applyFont="1" applyNumberFormat="1">
      <alignment horizontal="center" vertical="center"/>
    </xf>
    <xf borderId="10" fillId="0" fontId="2" numFmtId="1" xfId="0" applyAlignment="1" applyBorder="1" applyFont="1" applyNumberFormat="1">
      <alignment horizontal="center" vertical="center"/>
    </xf>
    <xf borderId="10" fillId="0" fontId="2" numFmtId="0" xfId="0" applyBorder="1" applyFont="1"/>
    <xf borderId="1" fillId="2" fontId="1" numFmtId="4" xfId="0" applyAlignment="1" applyBorder="1" applyFont="1" applyNumberFormat="1">
      <alignment horizontal="center"/>
    </xf>
    <xf borderId="10" fillId="2" fontId="1" numFmtId="4" xfId="0" applyAlignment="1" applyBorder="1" applyFont="1" applyNumberFormat="1">
      <alignment horizontal="center"/>
    </xf>
    <xf borderId="10" fillId="2" fontId="1" numFmtId="164" xfId="0" applyAlignment="1" applyBorder="1" applyFont="1" applyNumberFormat="1">
      <alignment horizontal="right"/>
    </xf>
    <xf borderId="10" fillId="2" fontId="1" numFmtId="3" xfId="0" applyAlignment="1" applyBorder="1" applyFont="1" applyNumberFormat="1">
      <alignment horizontal="right" vertical="center"/>
    </xf>
    <xf borderId="10" fillId="2" fontId="1" numFmtId="165" xfId="0" applyAlignment="1" applyBorder="1" applyFont="1" applyNumberFormat="1">
      <alignment horizontal="right" vertical="center"/>
    </xf>
    <xf borderId="1" fillId="0" fontId="1" numFmtId="4" xfId="0" applyAlignment="1" applyBorder="1" applyFont="1" applyNumberFormat="1">
      <alignment horizontal="left" vertical="center"/>
    </xf>
    <xf borderId="10" fillId="0" fontId="1" numFmtId="4" xfId="0" applyAlignment="1" applyBorder="1" applyFont="1" applyNumberFormat="1">
      <alignment horizontal="right"/>
    </xf>
    <xf borderId="10" fillId="0" fontId="1" numFmtId="3" xfId="0" applyAlignment="1" applyBorder="1" applyFont="1" applyNumberFormat="1">
      <alignment horizontal="right" vertical="center"/>
    </xf>
    <xf borderId="1" fillId="0" fontId="1" numFmtId="3" xfId="0" applyAlignment="1" applyBorder="1" applyFont="1" applyNumberFormat="1">
      <alignment horizontal="right" vertical="center"/>
    </xf>
    <xf borderId="1" fillId="0" fontId="1" numFmtId="4" xfId="0" applyAlignment="1" applyBorder="1" applyFont="1" applyNumberFormat="1">
      <alignment horizontal="right" vertical="center"/>
    </xf>
    <xf borderId="10" fillId="5" fontId="2" numFmtId="4" xfId="0" applyBorder="1" applyFont="1" applyNumberFormat="1"/>
    <xf borderId="0" fillId="0" fontId="2" numFmtId="0" xfId="0" applyAlignment="1" applyFont="1">
      <alignment horizontal="center"/>
    </xf>
    <xf borderId="9" fillId="2" fontId="1" numFmtId="4" xfId="0" applyAlignment="1" applyBorder="1" applyFont="1" applyNumberFormat="1">
      <alignment horizontal="center"/>
    </xf>
    <xf borderId="10" fillId="2" fontId="1" numFmtId="4" xfId="0" applyAlignment="1" applyBorder="1" applyFont="1" applyNumberFormat="1">
      <alignment horizontal="right"/>
    </xf>
    <xf borderId="10" fillId="2" fontId="1" numFmtId="4" xfId="0" applyAlignment="1" applyBorder="1" applyFont="1" applyNumberFormat="1">
      <alignment horizontal="right" vertical="center"/>
    </xf>
    <xf borderId="11" fillId="2" fontId="1" numFmtId="4" xfId="0" applyAlignment="1" applyBorder="1" applyFont="1" applyNumberFormat="1">
      <alignment horizontal="right"/>
    </xf>
    <xf quotePrefix="1" borderId="10" fillId="0" fontId="2" numFmtId="4" xfId="0" applyAlignment="1" applyBorder="1" applyFont="1" applyNumberFormat="1">
      <alignment horizontal="center" vertical="center"/>
    </xf>
    <xf borderId="2" fillId="0" fontId="2" numFmtId="4" xfId="0" applyAlignment="1" applyBorder="1" applyFont="1" applyNumberFormat="1">
      <alignment horizontal="left" vertical="center"/>
    </xf>
    <xf borderId="10" fillId="0" fontId="2" numFmtId="4" xfId="0" applyAlignment="1" applyBorder="1" applyFont="1" applyNumberFormat="1">
      <alignment horizontal="left" vertical="center"/>
    </xf>
    <xf borderId="10" fillId="0" fontId="2" numFmtId="4" xfId="0" applyAlignment="1" applyBorder="1" applyFont="1" applyNumberFormat="1">
      <alignment horizontal="right" shrinkToFit="0" vertical="center" wrapText="1"/>
    </xf>
    <xf borderId="10" fillId="0" fontId="2" numFmtId="4" xfId="0" applyAlignment="1" applyBorder="1" applyFont="1" applyNumberFormat="1">
      <alignment vertical="center"/>
    </xf>
    <xf borderId="10" fillId="0" fontId="6" numFmtId="4" xfId="0" applyAlignment="1" applyBorder="1" applyFont="1" applyNumberFormat="1">
      <alignment vertical="center"/>
    </xf>
    <xf borderId="3" fillId="0" fontId="6" numFmtId="4" xfId="0" applyAlignment="1" applyBorder="1" applyFont="1" applyNumberFormat="1">
      <alignment vertical="center"/>
    </xf>
    <xf borderId="1" fillId="6" fontId="1" numFmtId="4" xfId="0" applyAlignment="1" applyBorder="1" applyFill="1" applyFont="1" applyNumberFormat="1">
      <alignment horizontal="center"/>
    </xf>
    <xf borderId="9" fillId="6" fontId="1" numFmtId="4" xfId="0" applyAlignment="1" applyBorder="1" applyFont="1" applyNumberFormat="1">
      <alignment horizontal="center"/>
    </xf>
    <xf borderId="10" fillId="6" fontId="1" numFmtId="4" xfId="0" applyAlignment="1" applyBorder="1" applyFont="1" applyNumberFormat="1">
      <alignment horizontal="right"/>
    </xf>
    <xf borderId="10" fillId="6" fontId="1" numFmtId="3" xfId="0" applyAlignment="1" applyBorder="1" applyFont="1" applyNumberFormat="1">
      <alignment horizontal="right" vertical="center"/>
    </xf>
    <xf borderId="10" fillId="6" fontId="1" numFmtId="4" xfId="0" applyAlignment="1" applyBorder="1" applyFont="1" applyNumberFormat="1">
      <alignment horizontal="right" vertical="center"/>
    </xf>
    <xf borderId="1" fillId="0" fontId="1" numFmtId="4" xfId="0" applyAlignment="1" applyBorder="1" applyFont="1" applyNumberFormat="1">
      <alignment horizontal="center"/>
    </xf>
    <xf borderId="3" fillId="0" fontId="1" numFmtId="4" xfId="0" applyAlignment="1" applyBorder="1" applyFont="1" applyNumberFormat="1">
      <alignment horizontal="center"/>
    </xf>
    <xf borderId="1" fillId="0" fontId="1" numFmtId="4" xfId="0" applyAlignment="1" applyBorder="1" applyFont="1" applyNumberFormat="1">
      <alignment horizontal="right"/>
    </xf>
    <xf borderId="1" fillId="3" fontId="1" numFmtId="4" xfId="0" applyAlignment="1" applyBorder="1" applyFont="1" applyNumberFormat="1">
      <alignment horizontal="left" shrinkToFit="0" vertical="top" wrapText="1"/>
    </xf>
    <xf borderId="10" fillId="3" fontId="1" numFmtId="4" xfId="0" applyAlignment="1" applyBorder="1" applyFont="1" applyNumberFormat="1">
      <alignment horizontal="left" shrinkToFit="0" vertical="top" wrapText="1"/>
    </xf>
    <xf borderId="10" fillId="3" fontId="1" numFmtId="4" xfId="0" applyAlignment="1" applyBorder="1" applyFont="1" applyNumberFormat="1">
      <alignment horizontal="right"/>
    </xf>
    <xf borderId="10" fillId="3" fontId="1" numFmtId="3" xfId="0" applyAlignment="1" applyBorder="1" applyFont="1" applyNumberFormat="1">
      <alignment horizontal="right" vertical="center"/>
    </xf>
    <xf borderId="11" fillId="3" fontId="1" numFmtId="3" xfId="0" applyAlignment="1" applyBorder="1" applyFont="1" applyNumberFormat="1">
      <alignment horizontal="right" vertical="center"/>
    </xf>
    <xf borderId="11" fillId="3" fontId="1" numFmtId="4" xfId="0" applyAlignment="1" applyBorder="1" applyFont="1" applyNumberFormat="1">
      <alignment horizontal="right" vertical="center"/>
    </xf>
    <xf borderId="11" fillId="3" fontId="1" numFmtId="4" xfId="0" applyAlignment="1" applyBorder="1" applyFont="1" applyNumberFormat="1">
      <alignment horizontal="right"/>
    </xf>
    <xf borderId="10" fillId="0" fontId="1" numFmtId="4" xfId="0" applyAlignment="1" applyBorder="1" applyFont="1" applyNumberFormat="1">
      <alignment horizontal="left" vertical="center"/>
    </xf>
    <xf borderId="10" fillId="0" fontId="1" numFmtId="4" xfId="0" applyAlignment="1" applyBorder="1" applyFont="1" applyNumberFormat="1">
      <alignment horizontal="right" shrinkToFit="0" vertical="center" wrapText="1"/>
    </xf>
    <xf quotePrefix="1" borderId="10" fillId="0" fontId="2" numFmtId="0" xfId="0" applyAlignment="1" applyBorder="1" applyFont="1">
      <alignment horizontal="center"/>
    </xf>
    <xf borderId="1" fillId="0" fontId="2" numFmtId="0" xfId="0" applyBorder="1" applyFont="1"/>
    <xf borderId="10" fillId="0" fontId="2" numFmtId="166" xfId="0" applyAlignment="1" applyBorder="1" applyFont="1" applyNumberFormat="1">
      <alignment horizontal="right" vertical="center"/>
    </xf>
    <xf borderId="1" fillId="0" fontId="2" numFmtId="166" xfId="0" applyAlignment="1" applyBorder="1" applyFont="1" applyNumberFormat="1">
      <alignment horizontal="right" vertical="center"/>
    </xf>
    <xf borderId="11" fillId="5" fontId="2" numFmtId="0" xfId="0" applyBorder="1" applyFont="1"/>
    <xf quotePrefix="1" borderId="10" fillId="0" fontId="2" numFmtId="0" xfId="0" applyAlignment="1" applyBorder="1" applyFont="1">
      <alignment horizontal="left"/>
    </xf>
    <xf quotePrefix="1" borderId="10" fillId="0" fontId="2" numFmtId="0" xfId="0" applyAlignment="1" applyBorder="1" applyFont="1">
      <alignment horizontal="center" vertical="center"/>
    </xf>
    <xf borderId="3" fillId="0" fontId="2" numFmtId="0" xfId="0" applyAlignment="1" applyBorder="1" applyFont="1">
      <alignment shrinkToFit="0" wrapText="1"/>
    </xf>
    <xf borderId="3" fillId="0" fontId="2" numFmtId="0" xfId="0" applyAlignment="1" applyBorder="1" applyFont="1">
      <alignment shrinkToFit="0" vertical="top" wrapText="1"/>
    </xf>
    <xf quotePrefix="1" borderId="10" fillId="0" fontId="2" numFmtId="0" xfId="0" applyAlignment="1" applyBorder="1" applyFont="1">
      <alignment horizontal="center" vertical="top"/>
    </xf>
    <xf borderId="10" fillId="0" fontId="2" numFmtId="0" xfId="0" applyAlignment="1" applyBorder="1" applyFont="1">
      <alignment horizontal="left" vertical="center"/>
    </xf>
    <xf quotePrefix="1" borderId="10" fillId="5" fontId="2" numFmtId="0" xfId="0" applyAlignment="1" applyBorder="1" applyFont="1">
      <alignment horizontal="left" vertical="top"/>
    </xf>
    <xf borderId="11" fillId="2" fontId="1" numFmtId="4" xfId="0" applyAlignment="1" applyBorder="1" applyFont="1" applyNumberFormat="1">
      <alignment horizontal="right" vertical="center"/>
    </xf>
    <xf borderId="12" fillId="0" fontId="1" numFmtId="4" xfId="0" applyAlignment="1" applyBorder="1" applyFont="1" applyNumberFormat="1">
      <alignment horizontal="center" vertical="center"/>
    </xf>
    <xf borderId="12" fillId="0" fontId="1" numFmtId="4" xfId="0" applyAlignment="1" applyBorder="1" applyFont="1" applyNumberFormat="1">
      <alignment horizontal="left" vertical="center"/>
    </xf>
    <xf borderId="4" fillId="0" fontId="1" numFmtId="4" xfId="0" applyAlignment="1" applyBorder="1" applyFont="1" applyNumberFormat="1">
      <alignment horizontal="right" shrinkToFit="0" vertical="center" wrapText="1"/>
    </xf>
    <xf borderId="10" fillId="0" fontId="2" numFmtId="1" xfId="0" applyAlignment="1" applyBorder="1" applyFont="1" applyNumberFormat="1">
      <alignment horizontal="center"/>
    </xf>
    <xf borderId="1" fillId="0" fontId="2" numFmtId="4" xfId="0" applyBorder="1" applyFont="1" applyNumberFormat="1"/>
    <xf borderId="1" fillId="0" fontId="2" numFmtId="4" xfId="0" applyAlignment="1" applyBorder="1" applyFont="1" applyNumberFormat="1">
      <alignment horizontal="center"/>
    </xf>
    <xf borderId="10" fillId="0" fontId="6" numFmtId="3" xfId="0" applyAlignment="1" applyBorder="1" applyFont="1" applyNumberFormat="1">
      <alignment horizontal="center" vertical="center"/>
    </xf>
    <xf borderId="1" fillId="0" fontId="6" numFmtId="3" xfId="0" applyAlignment="1" applyBorder="1" applyFont="1" applyNumberFormat="1">
      <alignment horizontal="right" vertical="center"/>
    </xf>
    <xf borderId="1" fillId="0" fontId="6" numFmtId="4" xfId="0" applyAlignment="1" applyBorder="1" applyFont="1" applyNumberFormat="1">
      <alignment horizontal="right" vertical="center"/>
    </xf>
    <xf borderId="0" fillId="0" fontId="2" numFmtId="1" xfId="0" applyAlignment="1" applyFont="1" applyNumberFormat="1">
      <alignment horizontal="center"/>
    </xf>
    <xf borderId="10" fillId="0" fontId="2" numFmtId="4" xfId="0" applyAlignment="1" applyBorder="1" applyFont="1" applyNumberFormat="1">
      <alignment horizontal="center"/>
    </xf>
    <xf borderId="11" fillId="6" fontId="1" numFmtId="4" xfId="0" applyAlignment="1" applyBorder="1" applyFont="1" applyNumberFormat="1">
      <alignment horizontal="right"/>
    </xf>
    <xf borderId="2" fillId="0" fontId="2" numFmtId="4" xfId="0" applyBorder="1" applyFont="1" applyNumberFormat="1"/>
    <xf borderId="2" fillId="0" fontId="2" numFmtId="4" xfId="0" applyAlignment="1" applyBorder="1" applyFont="1" applyNumberFormat="1">
      <alignment horizontal="right"/>
    </xf>
    <xf borderId="2" fillId="0" fontId="2" numFmtId="3" xfId="0" applyAlignment="1" applyBorder="1" applyFont="1" applyNumberFormat="1">
      <alignment horizontal="right" vertical="center"/>
    </xf>
    <xf borderId="2" fillId="0" fontId="2" numFmtId="4" xfId="0" applyAlignment="1" applyBorder="1" applyFont="1" applyNumberFormat="1">
      <alignment horizontal="right" vertical="center"/>
    </xf>
    <xf borderId="1" fillId="7" fontId="1" numFmtId="4" xfId="0" applyAlignment="1" applyBorder="1" applyFill="1" applyFont="1" applyNumberFormat="1">
      <alignment horizontal="center" vertical="center"/>
    </xf>
    <xf borderId="10" fillId="7" fontId="1" numFmtId="3" xfId="0" applyAlignment="1" applyBorder="1" applyFont="1" applyNumberFormat="1">
      <alignment horizontal="right" vertical="center"/>
    </xf>
    <xf borderId="10" fillId="7" fontId="1" numFmtId="4" xfId="0" applyAlignment="1" applyBorder="1" applyFont="1" applyNumberFormat="1">
      <alignment horizontal="right" vertical="center"/>
    </xf>
    <xf borderId="1" fillId="8" fontId="7" numFmtId="0" xfId="0" applyAlignment="1" applyBorder="1" applyFill="1" applyFont="1">
      <alignment horizontal="center"/>
    </xf>
    <xf borderId="4" fillId="9" fontId="1" numFmtId="4" xfId="0" applyAlignment="1" applyBorder="1" applyFill="1" applyFont="1" applyNumberFormat="1">
      <alignment horizontal="center" vertical="center"/>
    </xf>
    <xf borderId="4" fillId="9" fontId="1" numFmtId="4" xfId="0" applyAlignment="1" applyBorder="1" applyFont="1" applyNumberFormat="1">
      <alignment horizontal="center" shrinkToFit="0" vertical="center" wrapText="1"/>
    </xf>
    <xf borderId="1" fillId="9" fontId="1" numFmtId="4" xfId="0" applyAlignment="1" applyBorder="1" applyFont="1" applyNumberFormat="1">
      <alignment horizontal="center" shrinkToFit="0" wrapText="1"/>
    </xf>
    <xf borderId="6" fillId="9" fontId="1" numFmtId="3" xfId="0" applyAlignment="1" applyBorder="1" applyFont="1" applyNumberFormat="1">
      <alignment horizontal="center" shrinkToFit="0" vertical="center" wrapText="1"/>
    </xf>
    <xf borderId="6" fillId="9" fontId="1" numFmtId="4" xfId="0" applyAlignment="1" applyBorder="1" applyFont="1" applyNumberFormat="1">
      <alignment horizontal="center" shrinkToFit="0" vertical="center" wrapText="1"/>
    </xf>
    <xf borderId="1" fillId="10" fontId="7" numFmtId="4" xfId="0" applyAlignment="1" applyBorder="1" applyFill="1" applyFont="1" applyNumberFormat="1">
      <alignment horizontal="left" vertical="center"/>
    </xf>
    <xf borderId="1" fillId="11" fontId="1" numFmtId="4" xfId="0" applyAlignment="1" applyBorder="1" applyFill="1" applyFont="1" applyNumberFormat="1">
      <alignment horizontal="left" vertical="center"/>
    </xf>
    <xf borderId="10" fillId="0" fontId="2" numFmtId="3" xfId="0" applyAlignment="1" applyBorder="1" applyFont="1" applyNumberFormat="1">
      <alignment horizontal="right" readingOrder="0" vertical="center"/>
    </xf>
    <xf borderId="0" fillId="2" fontId="8" numFmtId="0" xfId="0" applyAlignment="1" applyFont="1">
      <alignment readingOrder="0"/>
    </xf>
    <xf quotePrefix="1" borderId="10" fillId="7" fontId="2" numFmtId="0" xfId="0" applyAlignment="1" applyBorder="1" applyFont="1">
      <alignment horizontal="center" readingOrder="0"/>
    </xf>
    <xf borderId="10" fillId="7" fontId="2" numFmtId="4" xfId="0" applyAlignment="1" applyBorder="1" applyFont="1" applyNumberFormat="1">
      <alignment readingOrder="0"/>
    </xf>
    <xf borderId="10" fillId="7" fontId="2" numFmtId="0" xfId="0" applyAlignment="1" applyBorder="1" applyFont="1">
      <alignment horizontal="center" readingOrder="0"/>
    </xf>
    <xf borderId="10" fillId="7" fontId="2" numFmtId="4" xfId="0" applyAlignment="1" applyBorder="1" applyFont="1" applyNumberFormat="1">
      <alignment horizontal="right" readingOrder="0"/>
    </xf>
    <xf borderId="10" fillId="7" fontId="2" numFmtId="3" xfId="0" applyAlignment="1" applyBorder="1" applyFont="1" applyNumberFormat="1">
      <alignment horizontal="right" readingOrder="0" vertical="center"/>
    </xf>
    <xf borderId="10" fillId="7" fontId="2" numFmtId="4" xfId="0" applyAlignment="1" applyBorder="1" applyFont="1" applyNumberFormat="1">
      <alignment horizontal="right" vertical="center"/>
    </xf>
    <xf borderId="10" fillId="7" fontId="2" numFmtId="4" xfId="0" applyAlignment="1" applyBorder="1" applyFont="1" applyNumberFormat="1">
      <alignment horizontal="right"/>
    </xf>
    <xf borderId="10" fillId="7" fontId="2" numFmtId="1" xfId="0" applyAlignment="1" applyBorder="1" applyFont="1" applyNumberFormat="1">
      <alignment horizontal="center" readingOrder="0"/>
    </xf>
    <xf borderId="0" fillId="12" fontId="8" numFmtId="0" xfId="0" applyAlignment="1" applyFill="1" applyFont="1">
      <alignment readingOrder="0"/>
    </xf>
    <xf borderId="0" fillId="13" fontId="8" numFmtId="0" xfId="0" applyAlignment="1" applyFill="1" applyFont="1">
      <alignment readingOrder="0"/>
    </xf>
    <xf borderId="1" fillId="7" fontId="2" numFmtId="0" xfId="0" applyAlignment="1" applyBorder="1" applyFont="1">
      <alignment horizontal="center" readingOrder="0" vertical="center"/>
    </xf>
    <xf borderId="3" fillId="7" fontId="2" numFmtId="4" xfId="0" applyAlignment="1" applyBorder="1" applyFont="1" applyNumberFormat="1">
      <alignment readingOrder="0" shrinkToFit="0" vertical="center" wrapText="1"/>
    </xf>
    <xf borderId="10" fillId="7" fontId="2" numFmtId="0" xfId="0" applyAlignment="1" applyBorder="1" applyFont="1">
      <alignment horizontal="center" readingOrder="0" vertical="center"/>
    </xf>
    <xf borderId="10" fillId="7" fontId="2" numFmtId="4" xfId="0" applyAlignment="1" applyBorder="1" applyFont="1" applyNumberFormat="1">
      <alignment horizontal="right" readingOrder="0" vertical="center"/>
    </xf>
    <xf borderId="0" fillId="0" fontId="8" numFmtId="0" xfId="0" applyAlignment="1" applyFont="1">
      <alignment readingOrder="0"/>
    </xf>
    <xf borderId="1" fillId="14" fontId="2" numFmtId="0" xfId="0" applyAlignment="1" applyBorder="1" applyFill="1" applyFont="1">
      <alignment horizontal="center" readingOrder="0" vertical="center"/>
    </xf>
    <xf borderId="3" fillId="14" fontId="2" numFmtId="4" xfId="0" applyAlignment="1" applyBorder="1" applyFont="1" applyNumberFormat="1">
      <alignment readingOrder="0" shrinkToFit="0" vertical="center" wrapText="1"/>
    </xf>
    <xf borderId="10" fillId="14" fontId="2" numFmtId="0" xfId="0" applyAlignment="1" applyBorder="1" applyFont="1">
      <alignment horizontal="center" vertical="center"/>
    </xf>
    <xf borderId="10" fillId="14" fontId="2" numFmtId="4" xfId="0" applyAlignment="1" applyBorder="1" applyFont="1" applyNumberFormat="1">
      <alignment horizontal="right" vertical="center"/>
    </xf>
    <xf borderId="10" fillId="14" fontId="2" numFmtId="3" xfId="0" applyAlignment="1" applyBorder="1" applyFont="1" applyNumberFormat="1">
      <alignment horizontal="right" readingOrder="0" vertical="center"/>
    </xf>
    <xf borderId="10" fillId="14" fontId="2" numFmtId="4" xfId="0" applyAlignment="1" applyBorder="1" applyFont="1" applyNumberFormat="1">
      <alignment horizontal="right"/>
    </xf>
    <xf borderId="3" fillId="0" fontId="2" numFmtId="4" xfId="0" applyAlignment="1" applyBorder="1" applyFont="1" applyNumberFormat="1">
      <alignment readingOrder="0" shrinkToFit="0" vertical="center" wrapText="1"/>
    </xf>
    <xf borderId="0" fillId="15" fontId="8" numFmtId="0" xfId="0" applyAlignment="1" applyFill="1" applyFont="1">
      <alignment readingOrder="0"/>
    </xf>
    <xf borderId="1" fillId="14" fontId="2" numFmtId="0" xfId="0" applyAlignment="1" applyBorder="1" applyFont="1">
      <alignment horizontal="center" readingOrder="0"/>
    </xf>
    <xf borderId="3" fillId="14" fontId="2" numFmtId="4" xfId="0" applyAlignment="1" applyBorder="1" applyFont="1" applyNumberFormat="1">
      <alignment readingOrder="0"/>
    </xf>
    <xf borderId="10" fillId="14" fontId="2" numFmtId="0" xfId="0" applyAlignment="1" applyBorder="1" applyFont="1">
      <alignment horizontal="center" readingOrder="0"/>
    </xf>
    <xf borderId="10" fillId="14" fontId="2" numFmtId="4" xfId="0" applyAlignment="1" applyBorder="1" applyFont="1" applyNumberFormat="1">
      <alignment horizontal="right" readingOrder="0"/>
    </xf>
    <xf borderId="0" fillId="14" fontId="8" numFmtId="0" xfId="0" applyAlignment="1" applyFont="1">
      <alignment readingOrder="0"/>
    </xf>
    <xf borderId="10" fillId="14" fontId="2" numFmtId="1" xfId="0" applyAlignment="1" applyBorder="1" applyFont="1" applyNumberFormat="1">
      <alignment horizontal="center" readingOrder="0" vertical="center"/>
    </xf>
    <xf borderId="10" fillId="14" fontId="2" numFmtId="0" xfId="0" applyAlignment="1" applyBorder="1" applyFont="1">
      <alignment readingOrder="0"/>
    </xf>
    <xf borderId="10" fillId="14" fontId="2" numFmtId="0" xfId="0" applyAlignment="1" applyBorder="1" applyFont="1">
      <alignment horizontal="center"/>
    </xf>
    <xf borderId="1" fillId="16" fontId="1" numFmtId="4" xfId="0" applyAlignment="1" applyBorder="1" applyFill="1" applyFont="1" applyNumberFormat="1">
      <alignment horizontal="center" vertical="center"/>
    </xf>
    <xf borderId="10" fillId="16" fontId="1" numFmtId="3" xfId="0" applyAlignment="1" applyBorder="1" applyFont="1" applyNumberFormat="1">
      <alignment horizontal="right" vertical="center"/>
    </xf>
    <xf borderId="10" fillId="16" fontId="1" numFmtId="165" xfId="0" applyAlignment="1" applyBorder="1" applyFont="1" applyNumberFormat="1">
      <alignment horizontal="right" vertical="center"/>
    </xf>
    <xf borderId="10" fillId="16" fontId="1" numFmtId="4" xfId="0" applyAlignment="1" applyBorder="1" applyFont="1" applyNumberFormat="1">
      <alignment horizontal="right" vertical="center"/>
    </xf>
    <xf borderId="10" fillId="16" fontId="1" numFmtId="4" xfId="0" applyAlignment="1" applyBorder="1" applyFont="1" applyNumberFormat="1">
      <alignment horizontal="right"/>
    </xf>
    <xf quotePrefix="1" borderId="10" fillId="13" fontId="2" numFmtId="4" xfId="0" applyAlignment="1" applyBorder="1" applyFont="1" applyNumberFormat="1">
      <alignment horizontal="center" vertical="center"/>
    </xf>
    <xf borderId="2" fillId="13" fontId="2" numFmtId="4" xfId="0" applyAlignment="1" applyBorder="1" applyFont="1" applyNumberFormat="1">
      <alignment horizontal="left" vertical="center"/>
    </xf>
    <xf borderId="10" fillId="13" fontId="2" numFmtId="0" xfId="0" applyAlignment="1" applyBorder="1" applyFont="1">
      <alignment horizontal="center"/>
    </xf>
    <xf borderId="10" fillId="13" fontId="2" numFmtId="4" xfId="0" applyAlignment="1" applyBorder="1" applyFont="1" applyNumberFormat="1">
      <alignment horizontal="right" vertical="center"/>
    </xf>
    <xf borderId="10" fillId="13" fontId="2" numFmtId="3" xfId="0" applyAlignment="1" applyBorder="1" applyFont="1" applyNumberFormat="1">
      <alignment horizontal="right" readingOrder="0" vertical="center"/>
    </xf>
    <xf borderId="10" fillId="13" fontId="2" numFmtId="3" xfId="0" applyAlignment="1" applyBorder="1" applyFont="1" applyNumberFormat="1">
      <alignment horizontal="right" vertical="center"/>
    </xf>
    <xf borderId="10" fillId="13" fontId="2" numFmtId="4" xfId="0" applyAlignment="1" applyBorder="1" applyFont="1" applyNumberFormat="1">
      <alignment horizontal="right"/>
    </xf>
    <xf borderId="0" fillId="13" fontId="9" numFmtId="0" xfId="0" applyAlignment="1" applyFont="1">
      <alignment readingOrder="0"/>
    </xf>
    <xf borderId="10" fillId="13" fontId="2" numFmtId="4" xfId="0" applyAlignment="1" applyBorder="1" applyFont="1" applyNumberFormat="1">
      <alignment horizontal="left" vertical="center"/>
    </xf>
    <xf borderId="10" fillId="13" fontId="2" numFmtId="4" xfId="0" applyAlignment="1" applyBorder="1" applyFont="1" applyNumberFormat="1">
      <alignment horizontal="right" shrinkToFit="0" vertical="center" wrapText="1"/>
    </xf>
    <xf quotePrefix="1" borderId="1" fillId="13" fontId="2" numFmtId="4" xfId="0" applyAlignment="1" applyBorder="1" applyFont="1" applyNumberFormat="1">
      <alignment horizontal="center"/>
    </xf>
    <xf borderId="10" fillId="13" fontId="2" numFmtId="4" xfId="0" applyAlignment="1" applyBorder="1" applyFont="1" applyNumberFormat="1">
      <alignment vertical="center"/>
    </xf>
    <xf borderId="1" fillId="13" fontId="2" numFmtId="4" xfId="0" applyAlignment="1" applyBorder="1" applyFont="1" applyNumberFormat="1">
      <alignment horizontal="right" vertical="center"/>
    </xf>
    <xf borderId="10" fillId="13" fontId="6" numFmtId="4" xfId="0" applyAlignment="1" applyBorder="1" applyFont="1" applyNumberFormat="1">
      <alignment vertical="center"/>
    </xf>
    <xf borderId="1" fillId="11" fontId="1" numFmtId="4" xfId="0" applyAlignment="1" applyBorder="1" applyFont="1" applyNumberFormat="1">
      <alignment horizontal="center" vertical="center"/>
    </xf>
    <xf borderId="10" fillId="11" fontId="10" numFmtId="3" xfId="0" applyAlignment="1" applyBorder="1" applyFont="1" applyNumberFormat="1">
      <alignment horizontal="right" vertical="center"/>
    </xf>
    <xf borderId="10" fillId="11" fontId="10" numFmtId="4" xfId="0" applyAlignment="1" applyBorder="1" applyFont="1" applyNumberFormat="1">
      <alignment horizontal="right" vertical="center"/>
    </xf>
    <xf borderId="10" fillId="0" fontId="2" numFmtId="166" xfId="0" applyAlignment="1" applyBorder="1" applyFont="1" applyNumberFormat="1">
      <alignment horizontal="right" readingOrder="0" vertical="center"/>
    </xf>
    <xf borderId="0" fillId="2" fontId="8" numFmtId="166" xfId="0" applyFont="1" applyNumberFormat="1"/>
    <xf borderId="1" fillId="11" fontId="1" numFmtId="4" xfId="0" applyAlignment="1" applyBorder="1" applyFont="1" applyNumberFormat="1">
      <alignment horizontal="left" readingOrder="0" vertical="center"/>
    </xf>
    <xf borderId="10" fillId="5" fontId="2" numFmtId="0" xfId="0" applyAlignment="1" applyBorder="1" applyFont="1">
      <alignment horizontal="left" readingOrder="0" vertical="top"/>
    </xf>
    <xf borderId="10" fillId="0" fontId="6" numFmtId="3" xfId="0" applyAlignment="1" applyBorder="1" applyFont="1" applyNumberFormat="1">
      <alignment horizontal="center" readingOrder="0" vertical="bottom"/>
    </xf>
    <xf borderId="1" fillId="0" fontId="6" numFmtId="3" xfId="0" applyAlignment="1" applyBorder="1" applyFont="1" applyNumberFormat="1">
      <alignment horizontal="right" vertical="bottom"/>
    </xf>
    <xf borderId="1" fillId="0" fontId="6" numFmtId="4" xfId="0" applyAlignment="1" applyBorder="1" applyFont="1" applyNumberFormat="1">
      <alignment horizontal="right" vertical="bottom"/>
    </xf>
    <xf borderId="10" fillId="0" fontId="2" numFmtId="4" xfId="0" applyAlignment="1" applyBorder="1" applyFont="1" applyNumberFormat="1">
      <alignment horizontal="right" vertical="bottom"/>
    </xf>
    <xf borderId="10" fillId="13" fontId="2" numFmtId="1" xfId="0" applyAlignment="1" applyBorder="1" applyFont="1" applyNumberFormat="1">
      <alignment horizontal="center"/>
    </xf>
    <xf borderId="1" fillId="13" fontId="2" numFmtId="4" xfId="0" applyBorder="1" applyFont="1" applyNumberFormat="1"/>
    <xf borderId="1" fillId="13" fontId="2" numFmtId="4" xfId="0" applyAlignment="1" applyBorder="1" applyFont="1" applyNumberFormat="1">
      <alignment horizontal="center"/>
    </xf>
    <xf borderId="10" fillId="13" fontId="6" numFmtId="3" xfId="0" applyAlignment="1" applyBorder="1" applyFont="1" applyNumberFormat="1">
      <alignment horizontal="center" readingOrder="0" vertical="center"/>
    </xf>
    <xf borderId="1" fillId="13" fontId="6" numFmtId="3" xfId="0" applyAlignment="1" applyBorder="1" applyFont="1" applyNumberFormat="1">
      <alignment horizontal="right" vertical="center"/>
    </xf>
    <xf borderId="1" fillId="13" fontId="6" numFmtId="4" xfId="0" applyAlignment="1" applyBorder="1" applyFont="1" applyNumberFormat="1">
      <alignment horizontal="right" vertical="center"/>
    </xf>
    <xf borderId="1" fillId="13" fontId="2" numFmtId="4" xfId="0" applyAlignment="1" applyBorder="1" applyFont="1" applyNumberFormat="1">
      <alignment readingOrder="0"/>
    </xf>
    <xf borderId="10" fillId="13" fontId="2" numFmtId="0" xfId="0" applyBorder="1" applyFont="1"/>
    <xf borderId="10" fillId="13" fontId="2" numFmtId="4" xfId="0" applyAlignment="1" applyBorder="1" applyFont="1" applyNumberFormat="1">
      <alignment horizontal="center"/>
    </xf>
    <xf borderId="10" fillId="13" fontId="6" numFmtId="3" xfId="0" applyAlignment="1" applyBorder="1" applyFont="1" applyNumberFormat="1">
      <alignment horizontal="right" vertical="center"/>
    </xf>
    <xf borderId="10" fillId="13" fontId="6" numFmtId="4" xfId="0" applyAlignment="1" applyBorder="1" applyFont="1" applyNumberFormat="1">
      <alignment horizontal="right" vertical="center"/>
    </xf>
    <xf borderId="10" fillId="7" fontId="11" numFmtId="0" xfId="0" applyAlignment="1" applyBorder="1" applyFont="1">
      <alignment horizontal="center" readingOrder="0" shrinkToFit="0" vertical="bottom" wrapText="1"/>
    </xf>
    <xf borderId="10" fillId="7" fontId="8" numFmtId="0" xfId="0" applyAlignment="1" applyBorder="1" applyFont="1">
      <alignment readingOrder="0"/>
    </xf>
    <xf borderId="10" fillId="7" fontId="8" numFmtId="0" xfId="0" applyAlignment="1" applyBorder="1" applyFont="1">
      <alignment horizontal="center" readingOrder="0"/>
    </xf>
    <xf borderId="10" fillId="7" fontId="6" numFmtId="3" xfId="0" applyAlignment="1" applyBorder="1" applyFont="1" applyNumberFormat="1">
      <alignment horizontal="center" readingOrder="0" vertical="bottom"/>
    </xf>
    <xf borderId="1" fillId="7" fontId="6" numFmtId="3" xfId="0" applyAlignment="1" applyBorder="1" applyFont="1" applyNumberFormat="1">
      <alignment horizontal="right" vertical="bottom"/>
    </xf>
    <xf borderId="10" fillId="7" fontId="6" numFmtId="4" xfId="0" applyAlignment="1" applyBorder="1" applyFont="1" applyNumberFormat="1">
      <alignment horizontal="right" vertical="bottom"/>
    </xf>
    <xf borderId="10" fillId="7" fontId="2" numFmtId="4" xfId="0" applyAlignment="1" applyBorder="1" applyFont="1" applyNumberFormat="1">
      <alignment horizontal="right" vertical="bottom"/>
    </xf>
    <xf borderId="10" fillId="0" fontId="6" numFmtId="3" xfId="0" applyAlignment="1" applyBorder="1" applyFont="1" applyNumberFormat="1">
      <alignment horizontal="center" readingOrder="0" vertical="center"/>
    </xf>
    <xf borderId="10" fillId="0" fontId="6" numFmtId="3" xfId="0" applyAlignment="1" applyBorder="1" applyFont="1" applyNumberFormat="1">
      <alignment horizontal="right" vertical="center"/>
    </xf>
    <xf borderId="10" fillId="0" fontId="6" numFmtId="4" xfId="0" applyAlignment="1" applyBorder="1" applyFont="1" applyNumberFormat="1">
      <alignment horizontal="right" vertical="center"/>
    </xf>
    <xf borderId="10" fillId="0" fontId="2" numFmtId="4" xfId="0" applyAlignment="1" applyBorder="1" applyFont="1" applyNumberFormat="1">
      <alignment readingOrder="0"/>
    </xf>
    <xf borderId="10" fillId="0" fontId="2" numFmtId="4" xfId="0" applyAlignment="1" applyBorder="1" applyFont="1" applyNumberFormat="1">
      <alignment horizontal="center" readingOrder="0"/>
    </xf>
    <xf borderId="10" fillId="0" fontId="2" numFmtId="4" xfId="0" applyAlignment="1" applyBorder="1" applyFont="1" applyNumberFormat="1">
      <alignment horizontal="right" readingOrder="0"/>
    </xf>
    <xf borderId="1" fillId="8" fontId="7" numFmtId="4" xfId="0" applyAlignment="1" applyBorder="1" applyFont="1" applyNumberFormat="1">
      <alignment horizontal="center" vertical="center"/>
    </xf>
    <xf borderId="10" fillId="8" fontId="7" numFmtId="3" xfId="0" applyAlignment="1" applyBorder="1" applyFont="1" applyNumberFormat="1">
      <alignment horizontal="right" vertical="center"/>
    </xf>
    <xf borderId="10" fillId="8" fontId="7" numFmtId="4" xfId="0" applyAlignment="1" applyBorder="1" applyFont="1" applyNumberFormat="1">
      <alignment horizontal="right" vertical="center"/>
    </xf>
    <xf borderId="1" fillId="16" fontId="1" numFmtId="4" xfId="0" applyAlignment="1" applyBorder="1" applyFont="1" applyNumberFormat="1">
      <alignment horizontal="left" readingOrder="0" vertical="center"/>
    </xf>
    <xf borderId="10" fillId="17" fontId="2" numFmtId="0" xfId="0" applyAlignment="1" applyBorder="1" applyFill="1" applyFont="1">
      <alignment horizontal="center" readingOrder="0"/>
    </xf>
    <xf borderId="10" fillId="17" fontId="2" numFmtId="0" xfId="0" applyBorder="1" applyFont="1"/>
    <xf borderId="10" fillId="17" fontId="2" numFmtId="4" xfId="0" applyAlignment="1" applyBorder="1" applyFont="1" applyNumberFormat="1">
      <alignment horizontal="right" readingOrder="0"/>
    </xf>
    <xf borderId="10" fillId="17" fontId="2" numFmtId="166" xfId="0" applyAlignment="1" applyBorder="1" applyFont="1" applyNumberFormat="1">
      <alignment horizontal="right" readingOrder="0" vertical="center"/>
    </xf>
    <xf borderId="10" fillId="17" fontId="2" numFmtId="166" xfId="0" applyAlignment="1" applyBorder="1" applyFont="1" applyNumberFormat="1">
      <alignment horizontal="right" vertical="center"/>
    </xf>
    <xf borderId="10" fillId="17" fontId="2" numFmtId="4" xfId="0" applyAlignment="1" applyBorder="1" applyFont="1" applyNumberFormat="1">
      <alignment horizontal="right" vertical="center"/>
    </xf>
    <xf borderId="10" fillId="17" fontId="2" numFmtId="4" xfId="0" applyAlignment="1" applyBorder="1" applyFont="1" applyNumberFormat="1">
      <alignment horizontal="right"/>
    </xf>
    <xf quotePrefix="1" borderId="10" fillId="17" fontId="2" numFmtId="0" xfId="0" applyAlignment="1" applyBorder="1" applyFont="1">
      <alignment horizontal="center"/>
    </xf>
    <xf borderId="10" fillId="17" fontId="2" numFmtId="0" xfId="0" applyAlignment="1" applyBorder="1" applyFont="1">
      <alignment horizontal="center"/>
    </xf>
    <xf borderId="10" fillId="17" fontId="2" numFmtId="0" xfId="0" applyAlignment="1" applyBorder="1" applyFont="1">
      <alignment horizontal="left" readingOrder="0"/>
    </xf>
    <xf borderId="10" fillId="17" fontId="2" numFmtId="0" xfId="0" applyAlignment="1" applyBorder="1" applyFont="1">
      <alignment horizontal="center" readingOrder="0" vertical="center"/>
    </xf>
    <xf borderId="10" fillId="17" fontId="2" numFmtId="0" xfId="0" applyAlignment="1" applyBorder="1" applyFont="1">
      <alignment readingOrder="0" shrinkToFit="0" wrapText="1"/>
    </xf>
    <xf borderId="10" fillId="17" fontId="2" numFmtId="0" xfId="0" applyAlignment="1" applyBorder="1" applyFont="1">
      <alignment readingOrder="0" shrinkToFit="0" vertical="top" wrapText="1"/>
    </xf>
    <xf borderId="10" fillId="17" fontId="2" numFmtId="0" xfId="0" applyAlignment="1" applyBorder="1" applyFont="1">
      <alignment horizontal="center" readingOrder="0" vertical="top"/>
    </xf>
    <xf borderId="10" fillId="17" fontId="2" numFmtId="0" xfId="0" applyAlignment="1" applyBorder="1" applyFont="1">
      <alignment horizontal="left" readingOrder="0" vertical="center"/>
    </xf>
    <xf borderId="10" fillId="17" fontId="2" numFmtId="0" xfId="0" applyAlignment="1" applyBorder="1" applyFont="1">
      <alignment horizontal="left" readingOrder="0" vertical="top"/>
    </xf>
    <xf borderId="10" fillId="17" fontId="2" numFmtId="4" xfId="0" applyAlignment="1" applyBorder="1" applyFont="1" applyNumberFormat="1">
      <alignment horizontal="right" readingOrder="0" vertical="center"/>
    </xf>
    <xf borderId="0" fillId="18" fontId="12" numFmtId="0" xfId="0" applyAlignment="1" applyFill="1" applyFont="1">
      <alignment horizontal="center" readingOrder="0"/>
    </xf>
    <xf borderId="0" fillId="18" fontId="12" numFmtId="166" xfId="0" applyFont="1" applyNumberFormat="1"/>
    <xf borderId="0" fillId="18" fontId="12" numFmtId="4" xfId="0" applyFont="1" applyNumberFormat="1"/>
    <xf borderId="1" fillId="8" fontId="7" numFmtId="4" xfId="0" applyAlignment="1" applyBorder="1" applyFont="1" applyNumberFormat="1">
      <alignment horizontal="center" readingOrder="0" vertical="center"/>
    </xf>
    <xf borderId="0" fillId="19" fontId="13" numFmtId="0" xfId="0" applyAlignment="1" applyFill="1" applyFont="1">
      <alignment horizontal="center" readingOrder="0"/>
    </xf>
    <xf borderId="0" fillId="19" fontId="13" numFmtId="4" xfId="0" applyAlignment="1" applyFont="1" applyNumberFormat="1">
      <alignment readingOrder="0"/>
    </xf>
    <xf borderId="0" fillId="19" fontId="13" numFmtId="164" xfId="0" applyFont="1" applyNumberFormat="1"/>
    <xf borderId="1" fillId="12" fontId="8" numFmtId="0" xfId="0" applyAlignment="1" applyBorder="1" applyFont="1">
      <alignment horizontal="center" readingOrder="0"/>
    </xf>
    <xf borderId="10" fillId="12" fontId="12" numFmtId="4" xfId="0" applyBorder="1" applyFont="1" applyNumberFormat="1"/>
    <xf borderId="1" fillId="0" fontId="1" numFmtId="4" xfId="0" applyAlignment="1" applyBorder="1" applyFont="1" applyNumberFormat="1">
      <alignment horizontal="left" readingOrder="0" vertical="center"/>
    </xf>
    <xf borderId="10" fillId="0" fontId="2" numFmtId="0" xfId="0" applyAlignment="1" applyBorder="1" applyFont="1">
      <alignment horizontal="center" readingOrder="0"/>
    </xf>
    <xf borderId="1" fillId="0" fontId="2" numFmtId="4" xfId="0" applyAlignment="1" applyBorder="1" applyFont="1" applyNumberFormat="1">
      <alignment horizontal="right"/>
    </xf>
    <xf borderId="10" fillId="0" fontId="2" numFmtId="0" xfId="0" applyAlignment="1" applyBorder="1" applyFont="1">
      <alignment horizontal="left" readingOrder="0"/>
    </xf>
    <xf borderId="10" fillId="0" fontId="2" numFmtId="0" xfId="0" applyAlignment="1" applyBorder="1" applyFont="1">
      <alignment horizontal="center" readingOrder="0" vertical="center"/>
    </xf>
    <xf borderId="3" fillId="0" fontId="2" numFmtId="0" xfId="0" applyAlignment="1" applyBorder="1" applyFont="1">
      <alignment readingOrder="0" shrinkToFit="0" wrapText="1"/>
    </xf>
    <xf borderId="3" fillId="0" fontId="2" numFmtId="0" xfId="0" applyAlignment="1" applyBorder="1" applyFont="1">
      <alignment readingOrder="0" shrinkToFit="0" vertical="top" wrapText="1"/>
    </xf>
    <xf borderId="10" fillId="0" fontId="2" numFmtId="0" xfId="0" applyAlignment="1" applyBorder="1" applyFont="1">
      <alignment horizontal="center" readingOrder="0" vertical="top"/>
    </xf>
    <xf borderId="10" fillId="0" fontId="2" numFmtId="0" xfId="0" applyAlignment="1" applyBorder="1" applyFont="1">
      <alignment horizontal="left" readingOrder="0" vertical="center"/>
    </xf>
    <xf borderId="10" fillId="0" fontId="8" numFmtId="166" xfId="0" applyBorder="1" applyFont="1" applyNumberFormat="1"/>
    <xf borderId="10" fillId="0" fontId="8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1.0"/>
    <col customWidth="1" min="2" max="2" width="51.57"/>
    <col customWidth="1" min="3" max="3" width="20.43"/>
    <col customWidth="1" min="4" max="4" width="16.86"/>
    <col customWidth="1" min="5" max="5" width="9.71"/>
    <col customWidth="1" min="6" max="7" width="8.71"/>
    <col customWidth="1" min="8" max="8" width="16.71"/>
    <col customWidth="1" min="9" max="9" width="16.14"/>
    <col customWidth="1" min="10" max="11" width="8.71"/>
    <col customWidth="1" min="12" max="12" width="13.71"/>
    <col customWidth="1" min="13" max="26" width="8.71"/>
  </cols>
  <sheetData>
    <row r="2">
      <c r="A2" s="1" t="s">
        <v>0</v>
      </c>
      <c r="B2" s="2"/>
      <c r="C2" s="2"/>
      <c r="D2" s="2"/>
      <c r="E2" s="3"/>
      <c r="F2" s="4"/>
      <c r="G2" s="4"/>
      <c r="H2" s="5"/>
      <c r="I2" s="3"/>
    </row>
    <row r="3">
      <c r="A3" s="1" t="s">
        <v>1</v>
      </c>
      <c r="B3" s="2"/>
      <c r="C3" s="2"/>
      <c r="D3" s="2"/>
      <c r="E3" s="3"/>
      <c r="F3" s="4"/>
      <c r="G3" s="4"/>
      <c r="H3" s="5"/>
      <c r="I3" s="3"/>
    </row>
    <row r="4">
      <c r="A4" s="1" t="s">
        <v>2</v>
      </c>
      <c r="B4" s="2"/>
      <c r="C4" s="2"/>
      <c r="D4" s="2"/>
      <c r="E4" s="3"/>
      <c r="F4" s="4"/>
      <c r="G4" s="4"/>
      <c r="H4" s="5"/>
      <c r="I4" s="3"/>
    </row>
    <row r="5">
      <c r="A5" s="1"/>
      <c r="B5" s="2"/>
      <c r="C5" s="2"/>
      <c r="D5" s="2"/>
      <c r="E5" s="3"/>
      <c r="F5" s="4"/>
      <c r="G5" s="4"/>
      <c r="H5" s="5"/>
      <c r="I5" s="3"/>
    </row>
    <row r="6">
      <c r="A6" s="6" t="s">
        <v>3</v>
      </c>
      <c r="B6" s="7"/>
      <c r="C6" s="7"/>
      <c r="D6" s="7"/>
      <c r="E6" s="7"/>
      <c r="F6" s="7"/>
      <c r="G6" s="7"/>
      <c r="H6" s="7"/>
      <c r="I6" s="8"/>
    </row>
    <row r="7">
      <c r="A7" s="9"/>
      <c r="B7" s="9"/>
      <c r="C7" s="9"/>
      <c r="D7" s="9"/>
      <c r="E7" s="3"/>
      <c r="F7" s="4"/>
      <c r="G7" s="4"/>
      <c r="H7" s="5"/>
      <c r="I7" s="3"/>
    </row>
    <row r="8">
      <c r="A8" s="10" t="s">
        <v>4</v>
      </c>
      <c r="B8" s="10" t="s">
        <v>5</v>
      </c>
      <c r="C8" s="11" t="s">
        <v>6</v>
      </c>
      <c r="D8" s="11" t="s">
        <v>7</v>
      </c>
      <c r="E8" s="11" t="s">
        <v>8</v>
      </c>
      <c r="F8" s="12" t="s">
        <v>9</v>
      </c>
      <c r="G8" s="8"/>
      <c r="H8" s="12" t="s">
        <v>10</v>
      </c>
      <c r="I8" s="8"/>
    </row>
    <row r="9">
      <c r="A9" s="13"/>
      <c r="B9" s="13"/>
      <c r="C9" s="13"/>
      <c r="D9" s="13"/>
      <c r="E9" s="13"/>
      <c r="F9" s="14" t="s">
        <v>11</v>
      </c>
      <c r="G9" s="14" t="s">
        <v>12</v>
      </c>
      <c r="H9" s="15" t="s">
        <v>11</v>
      </c>
      <c r="I9" s="15" t="s">
        <v>12</v>
      </c>
    </row>
    <row r="10">
      <c r="A10" s="16" t="s">
        <v>13</v>
      </c>
      <c r="B10" s="17"/>
      <c r="C10" s="18"/>
      <c r="D10" s="18"/>
      <c r="E10" s="19"/>
      <c r="F10" s="20"/>
      <c r="G10" s="20"/>
      <c r="H10" s="21"/>
      <c r="I10" s="22"/>
    </row>
    <row r="11">
      <c r="A11" s="23" t="s">
        <v>14</v>
      </c>
      <c r="B11" s="7"/>
      <c r="C11" s="7"/>
      <c r="D11" s="7"/>
      <c r="E11" s="7"/>
      <c r="F11" s="7"/>
      <c r="G11" s="7"/>
      <c r="H11" s="7"/>
      <c r="I11" s="8"/>
    </row>
    <row r="12">
      <c r="A12" s="24" t="s">
        <v>15</v>
      </c>
      <c r="B12" s="25" t="s">
        <v>16</v>
      </c>
      <c r="C12" s="26" t="s">
        <v>17</v>
      </c>
      <c r="D12" s="26" t="s">
        <v>18</v>
      </c>
      <c r="E12" s="27">
        <v>1.85</v>
      </c>
      <c r="F12" s="28">
        <v>200.0</v>
      </c>
      <c r="G12" s="28">
        <f t="shared" ref="G12:G76" si="1">F12*12</f>
        <v>2400</v>
      </c>
      <c r="H12" s="29">
        <f t="shared" ref="H12:H76" si="2">F12*E12</f>
        <v>370</v>
      </c>
      <c r="I12" s="30">
        <f t="shared" ref="I12:I81" si="3">H12*12</f>
        <v>4440</v>
      </c>
    </row>
    <row r="13">
      <c r="A13" s="24" t="s">
        <v>19</v>
      </c>
      <c r="B13" s="25" t="s">
        <v>20</v>
      </c>
      <c r="C13" s="26" t="s">
        <v>17</v>
      </c>
      <c r="D13" s="26" t="s">
        <v>18</v>
      </c>
      <c r="E13" s="27">
        <v>2.25</v>
      </c>
      <c r="F13" s="28">
        <v>83.0</v>
      </c>
      <c r="G13" s="28">
        <f t="shared" si="1"/>
        <v>996</v>
      </c>
      <c r="H13" s="29">
        <f t="shared" si="2"/>
        <v>186.75</v>
      </c>
      <c r="I13" s="30">
        <f t="shared" si="3"/>
        <v>2241</v>
      </c>
    </row>
    <row r="14">
      <c r="A14" s="31" t="s">
        <v>21</v>
      </c>
      <c r="B14" s="25" t="s">
        <v>22</v>
      </c>
      <c r="C14" s="26" t="s">
        <v>17</v>
      </c>
      <c r="D14" s="26" t="s">
        <v>18</v>
      </c>
      <c r="E14" s="27">
        <v>2.01</v>
      </c>
      <c r="F14" s="28">
        <v>70.0</v>
      </c>
      <c r="G14" s="32">
        <f t="shared" si="1"/>
        <v>840</v>
      </c>
      <c r="H14" s="33">
        <f t="shared" si="2"/>
        <v>140.7</v>
      </c>
      <c r="I14" s="30">
        <f t="shared" si="3"/>
        <v>1688.4</v>
      </c>
    </row>
    <row r="15">
      <c r="A15" s="24" t="s">
        <v>23</v>
      </c>
      <c r="B15" s="25" t="s">
        <v>24</v>
      </c>
      <c r="C15" s="26" t="s">
        <v>17</v>
      </c>
      <c r="D15" s="26" t="s">
        <v>18</v>
      </c>
      <c r="E15" s="27">
        <v>1.85</v>
      </c>
      <c r="F15" s="28">
        <v>100.0</v>
      </c>
      <c r="G15" s="32">
        <f t="shared" si="1"/>
        <v>1200</v>
      </c>
      <c r="H15" s="33">
        <f t="shared" si="2"/>
        <v>185</v>
      </c>
      <c r="I15" s="30">
        <f t="shared" si="3"/>
        <v>2220</v>
      </c>
    </row>
    <row r="16">
      <c r="A16" s="24" t="s">
        <v>25</v>
      </c>
      <c r="B16" s="25" t="s">
        <v>26</v>
      </c>
      <c r="C16" s="26" t="s">
        <v>17</v>
      </c>
      <c r="D16" s="26" t="s">
        <v>18</v>
      </c>
      <c r="E16" s="27">
        <v>3.51</v>
      </c>
      <c r="F16" s="28">
        <v>4.0</v>
      </c>
      <c r="G16" s="32">
        <f t="shared" si="1"/>
        <v>48</v>
      </c>
      <c r="H16" s="33">
        <f t="shared" si="2"/>
        <v>14.04</v>
      </c>
      <c r="I16" s="30">
        <f t="shared" si="3"/>
        <v>168.48</v>
      </c>
    </row>
    <row r="17">
      <c r="A17" s="24" t="s">
        <v>27</v>
      </c>
      <c r="B17" s="25" t="s">
        <v>28</v>
      </c>
      <c r="C17" s="26" t="s">
        <v>17</v>
      </c>
      <c r="D17" s="26" t="s">
        <v>18</v>
      </c>
      <c r="E17" s="30">
        <v>3.51</v>
      </c>
      <c r="F17" s="28">
        <v>500.0</v>
      </c>
      <c r="G17" s="32">
        <f t="shared" si="1"/>
        <v>6000</v>
      </c>
      <c r="H17" s="33">
        <f t="shared" si="2"/>
        <v>1755</v>
      </c>
      <c r="I17" s="30">
        <f t="shared" si="3"/>
        <v>21060</v>
      </c>
    </row>
    <row r="18">
      <c r="A18" s="24" t="s">
        <v>29</v>
      </c>
      <c r="B18" s="34" t="s">
        <v>30</v>
      </c>
      <c r="C18" s="26" t="s">
        <v>17</v>
      </c>
      <c r="D18" s="26" t="s">
        <v>18</v>
      </c>
      <c r="E18" s="30">
        <v>3.51</v>
      </c>
      <c r="F18" s="28">
        <v>500.0</v>
      </c>
      <c r="G18" s="32">
        <f t="shared" si="1"/>
        <v>6000</v>
      </c>
      <c r="H18" s="33">
        <f t="shared" si="2"/>
        <v>1755</v>
      </c>
      <c r="I18" s="30">
        <f t="shared" si="3"/>
        <v>21060</v>
      </c>
    </row>
    <row r="19">
      <c r="A19" s="24" t="s">
        <v>31</v>
      </c>
      <c r="B19" s="25" t="s">
        <v>32</v>
      </c>
      <c r="C19" s="26" t="s">
        <v>17</v>
      </c>
      <c r="D19" s="26" t="s">
        <v>18</v>
      </c>
      <c r="E19" s="30">
        <v>1.85</v>
      </c>
      <c r="F19" s="28">
        <v>500.0</v>
      </c>
      <c r="G19" s="32">
        <f t="shared" si="1"/>
        <v>6000</v>
      </c>
      <c r="H19" s="33">
        <f t="shared" si="2"/>
        <v>925</v>
      </c>
      <c r="I19" s="30">
        <f t="shared" si="3"/>
        <v>11100</v>
      </c>
    </row>
    <row r="20">
      <c r="A20" s="24" t="s">
        <v>33</v>
      </c>
      <c r="B20" s="25" t="s">
        <v>34</v>
      </c>
      <c r="C20" s="26" t="s">
        <v>17</v>
      </c>
      <c r="D20" s="26" t="s">
        <v>18</v>
      </c>
      <c r="E20" s="30">
        <v>1.85</v>
      </c>
      <c r="F20" s="28">
        <v>500.0</v>
      </c>
      <c r="G20" s="32">
        <f t="shared" si="1"/>
        <v>6000</v>
      </c>
      <c r="H20" s="33">
        <f t="shared" si="2"/>
        <v>925</v>
      </c>
      <c r="I20" s="30">
        <f t="shared" si="3"/>
        <v>11100</v>
      </c>
    </row>
    <row r="21" ht="15.75" customHeight="1">
      <c r="A21" s="24" t="s">
        <v>35</v>
      </c>
      <c r="B21" s="25" t="s">
        <v>36</v>
      </c>
      <c r="C21" s="26" t="s">
        <v>17</v>
      </c>
      <c r="D21" s="26" t="s">
        <v>18</v>
      </c>
      <c r="E21" s="30">
        <v>3.68</v>
      </c>
      <c r="F21" s="28">
        <v>20.0</v>
      </c>
      <c r="G21" s="32">
        <f t="shared" si="1"/>
        <v>240</v>
      </c>
      <c r="H21" s="33">
        <f t="shared" si="2"/>
        <v>73.6</v>
      </c>
      <c r="I21" s="30">
        <f t="shared" si="3"/>
        <v>883.2</v>
      </c>
    </row>
    <row r="22" ht="15.75" customHeight="1">
      <c r="A22" s="24" t="s">
        <v>37</v>
      </c>
      <c r="B22" s="25" t="s">
        <v>38</v>
      </c>
      <c r="C22" s="26" t="s">
        <v>17</v>
      </c>
      <c r="D22" s="26" t="s">
        <v>18</v>
      </c>
      <c r="E22" s="30">
        <v>15.59</v>
      </c>
      <c r="F22" s="28">
        <v>80.0</v>
      </c>
      <c r="G22" s="32">
        <f t="shared" si="1"/>
        <v>960</v>
      </c>
      <c r="H22" s="33">
        <f t="shared" si="2"/>
        <v>1247.2</v>
      </c>
      <c r="I22" s="30">
        <f t="shared" si="3"/>
        <v>14966.4</v>
      </c>
    </row>
    <row r="23" ht="15.75" customHeight="1">
      <c r="A23" s="24" t="s">
        <v>39</v>
      </c>
      <c r="B23" s="25" t="s">
        <v>40</v>
      </c>
      <c r="C23" s="26" t="s">
        <v>17</v>
      </c>
      <c r="D23" s="26" t="s">
        <v>18</v>
      </c>
      <c r="E23" s="30">
        <v>3.51</v>
      </c>
      <c r="F23" s="28">
        <v>70.0</v>
      </c>
      <c r="G23" s="32">
        <f t="shared" si="1"/>
        <v>840</v>
      </c>
      <c r="H23" s="33">
        <f t="shared" si="2"/>
        <v>245.7</v>
      </c>
      <c r="I23" s="30">
        <f t="shared" si="3"/>
        <v>2948.4</v>
      </c>
    </row>
    <row r="24" ht="15.75" customHeight="1">
      <c r="A24" s="24" t="s">
        <v>41</v>
      </c>
      <c r="B24" s="25" t="s">
        <v>42</v>
      </c>
      <c r="C24" s="26" t="s">
        <v>17</v>
      </c>
      <c r="D24" s="26" t="s">
        <v>18</v>
      </c>
      <c r="E24" s="30">
        <v>2.01</v>
      </c>
      <c r="F24" s="28">
        <v>80.0</v>
      </c>
      <c r="G24" s="32">
        <f t="shared" si="1"/>
        <v>960</v>
      </c>
      <c r="H24" s="33">
        <f t="shared" si="2"/>
        <v>160.8</v>
      </c>
      <c r="I24" s="30">
        <f t="shared" si="3"/>
        <v>1929.6</v>
      </c>
    </row>
    <row r="25" ht="15.75" customHeight="1">
      <c r="A25" s="24" t="s">
        <v>43</v>
      </c>
      <c r="B25" s="25" t="s">
        <v>44</v>
      </c>
      <c r="C25" s="26" t="s">
        <v>17</v>
      </c>
      <c r="D25" s="26" t="s">
        <v>18</v>
      </c>
      <c r="E25" s="30">
        <v>1.85</v>
      </c>
      <c r="F25" s="28">
        <v>40.0</v>
      </c>
      <c r="G25" s="32">
        <f t="shared" si="1"/>
        <v>480</v>
      </c>
      <c r="H25" s="33">
        <f t="shared" si="2"/>
        <v>74</v>
      </c>
      <c r="I25" s="30">
        <f t="shared" si="3"/>
        <v>888</v>
      </c>
    </row>
    <row r="26" ht="15.75" customHeight="1">
      <c r="A26" s="24" t="s">
        <v>45</v>
      </c>
      <c r="B26" s="25" t="s">
        <v>46</v>
      </c>
      <c r="C26" s="26" t="s">
        <v>17</v>
      </c>
      <c r="D26" s="26" t="s">
        <v>18</v>
      </c>
      <c r="E26" s="30">
        <v>2.01</v>
      </c>
      <c r="F26" s="28">
        <v>10.0</v>
      </c>
      <c r="G26" s="32">
        <f t="shared" si="1"/>
        <v>120</v>
      </c>
      <c r="H26" s="33">
        <f t="shared" si="2"/>
        <v>20.1</v>
      </c>
      <c r="I26" s="30">
        <f t="shared" si="3"/>
        <v>241.2</v>
      </c>
    </row>
    <row r="27" ht="15.75" customHeight="1">
      <c r="A27" s="24" t="s">
        <v>47</v>
      </c>
      <c r="B27" s="25" t="s">
        <v>48</v>
      </c>
      <c r="C27" s="26" t="s">
        <v>17</v>
      </c>
      <c r="D27" s="26" t="s">
        <v>18</v>
      </c>
      <c r="E27" s="30">
        <v>3.51</v>
      </c>
      <c r="F27" s="28">
        <v>150.0</v>
      </c>
      <c r="G27" s="32">
        <f t="shared" si="1"/>
        <v>1800</v>
      </c>
      <c r="H27" s="33">
        <f t="shared" si="2"/>
        <v>526.5</v>
      </c>
      <c r="I27" s="30">
        <f t="shared" si="3"/>
        <v>6318</v>
      </c>
    </row>
    <row r="28" ht="15.75" customHeight="1">
      <c r="A28" s="24" t="s">
        <v>49</v>
      </c>
      <c r="B28" s="25" t="s">
        <v>50</v>
      </c>
      <c r="C28" s="26" t="s">
        <v>17</v>
      </c>
      <c r="D28" s="26" t="s">
        <v>18</v>
      </c>
      <c r="E28" s="30">
        <v>1.85</v>
      </c>
      <c r="F28" s="28">
        <v>400.0</v>
      </c>
      <c r="G28" s="32">
        <f t="shared" si="1"/>
        <v>4800</v>
      </c>
      <c r="H28" s="33">
        <f t="shared" si="2"/>
        <v>740</v>
      </c>
      <c r="I28" s="30">
        <f t="shared" si="3"/>
        <v>8880</v>
      </c>
    </row>
    <row r="29" ht="15.75" customHeight="1">
      <c r="A29" s="24" t="s">
        <v>51</v>
      </c>
      <c r="B29" s="25" t="s">
        <v>52</v>
      </c>
      <c r="C29" s="26" t="s">
        <v>17</v>
      </c>
      <c r="D29" s="26" t="s">
        <v>18</v>
      </c>
      <c r="E29" s="30">
        <v>7.86</v>
      </c>
      <c r="F29" s="28">
        <v>400.0</v>
      </c>
      <c r="G29" s="32">
        <f t="shared" si="1"/>
        <v>4800</v>
      </c>
      <c r="H29" s="33">
        <f t="shared" si="2"/>
        <v>3144</v>
      </c>
      <c r="I29" s="30">
        <f t="shared" si="3"/>
        <v>37728</v>
      </c>
    </row>
    <row r="30" ht="15.75" customHeight="1">
      <c r="A30" s="24" t="s">
        <v>53</v>
      </c>
      <c r="B30" s="25" t="s">
        <v>54</v>
      </c>
      <c r="C30" s="26" t="s">
        <v>17</v>
      </c>
      <c r="D30" s="26" t="s">
        <v>18</v>
      </c>
      <c r="E30" s="30">
        <v>2.25</v>
      </c>
      <c r="F30" s="28">
        <v>80.0</v>
      </c>
      <c r="G30" s="32">
        <f t="shared" si="1"/>
        <v>960</v>
      </c>
      <c r="H30" s="33">
        <f t="shared" si="2"/>
        <v>180</v>
      </c>
      <c r="I30" s="30">
        <f t="shared" si="3"/>
        <v>2160</v>
      </c>
    </row>
    <row r="31" ht="15.75" customHeight="1">
      <c r="A31" s="24" t="s">
        <v>55</v>
      </c>
      <c r="B31" s="25" t="s">
        <v>56</v>
      </c>
      <c r="C31" s="26" t="s">
        <v>17</v>
      </c>
      <c r="D31" s="26" t="s">
        <v>18</v>
      </c>
      <c r="E31" s="30">
        <v>2.01</v>
      </c>
      <c r="F31" s="28">
        <v>80.0</v>
      </c>
      <c r="G31" s="32">
        <f t="shared" si="1"/>
        <v>960</v>
      </c>
      <c r="H31" s="33">
        <f t="shared" si="2"/>
        <v>160.8</v>
      </c>
      <c r="I31" s="30">
        <f t="shared" si="3"/>
        <v>1929.6</v>
      </c>
    </row>
    <row r="32" ht="15.75" customHeight="1">
      <c r="A32" s="24" t="s">
        <v>57</v>
      </c>
      <c r="B32" s="25" t="s">
        <v>58</v>
      </c>
      <c r="C32" s="26" t="s">
        <v>17</v>
      </c>
      <c r="D32" s="26" t="s">
        <v>18</v>
      </c>
      <c r="E32" s="30">
        <v>1.85</v>
      </c>
      <c r="F32" s="28">
        <v>150.0</v>
      </c>
      <c r="G32" s="32">
        <f t="shared" si="1"/>
        <v>1800</v>
      </c>
      <c r="H32" s="33">
        <f t="shared" si="2"/>
        <v>277.5</v>
      </c>
      <c r="I32" s="30">
        <f t="shared" si="3"/>
        <v>3330</v>
      </c>
    </row>
    <row r="33" ht="15.75" customHeight="1">
      <c r="A33" s="24" t="s">
        <v>59</v>
      </c>
      <c r="B33" s="25" t="s">
        <v>60</v>
      </c>
      <c r="C33" s="26" t="s">
        <v>17</v>
      </c>
      <c r="D33" s="26" t="s">
        <v>18</v>
      </c>
      <c r="E33" s="30">
        <v>1.4</v>
      </c>
      <c r="F33" s="28">
        <v>15.0</v>
      </c>
      <c r="G33" s="32">
        <f t="shared" si="1"/>
        <v>180</v>
      </c>
      <c r="H33" s="33">
        <f t="shared" si="2"/>
        <v>21</v>
      </c>
      <c r="I33" s="30">
        <f t="shared" si="3"/>
        <v>252</v>
      </c>
    </row>
    <row r="34" ht="15.75" customHeight="1">
      <c r="A34" s="24" t="s">
        <v>61</v>
      </c>
      <c r="B34" s="25" t="s">
        <v>62</v>
      </c>
      <c r="C34" s="26" t="s">
        <v>17</v>
      </c>
      <c r="D34" s="26" t="s">
        <v>18</v>
      </c>
      <c r="E34" s="30">
        <v>1.85</v>
      </c>
      <c r="F34" s="28">
        <v>20.0</v>
      </c>
      <c r="G34" s="32">
        <f t="shared" si="1"/>
        <v>240</v>
      </c>
      <c r="H34" s="33">
        <f t="shared" si="2"/>
        <v>37</v>
      </c>
      <c r="I34" s="30">
        <f t="shared" si="3"/>
        <v>444</v>
      </c>
    </row>
    <row r="35" ht="15.75" customHeight="1">
      <c r="A35" s="24" t="s">
        <v>63</v>
      </c>
      <c r="B35" s="25" t="s">
        <v>64</v>
      </c>
      <c r="C35" s="26" t="s">
        <v>17</v>
      </c>
      <c r="D35" s="26" t="s">
        <v>18</v>
      </c>
      <c r="E35" s="30">
        <v>1.85</v>
      </c>
      <c r="F35" s="28">
        <v>150.0</v>
      </c>
      <c r="G35" s="32">
        <f t="shared" si="1"/>
        <v>1800</v>
      </c>
      <c r="H35" s="33">
        <f t="shared" si="2"/>
        <v>277.5</v>
      </c>
      <c r="I35" s="30">
        <f t="shared" si="3"/>
        <v>3330</v>
      </c>
    </row>
    <row r="36" ht="15.75" customHeight="1">
      <c r="A36" s="24" t="s">
        <v>65</v>
      </c>
      <c r="B36" s="25" t="s">
        <v>66</v>
      </c>
      <c r="C36" s="26" t="s">
        <v>17</v>
      </c>
      <c r="D36" s="26" t="s">
        <v>18</v>
      </c>
      <c r="E36" s="30">
        <v>2.01</v>
      </c>
      <c r="F36" s="28">
        <v>500.0</v>
      </c>
      <c r="G36" s="32">
        <f t="shared" si="1"/>
        <v>6000</v>
      </c>
      <c r="H36" s="33">
        <f t="shared" si="2"/>
        <v>1005</v>
      </c>
      <c r="I36" s="30">
        <f t="shared" si="3"/>
        <v>12060</v>
      </c>
    </row>
    <row r="37" ht="15.75" customHeight="1">
      <c r="A37" s="24" t="s">
        <v>67</v>
      </c>
      <c r="B37" s="25" t="s">
        <v>68</v>
      </c>
      <c r="C37" s="26" t="s">
        <v>17</v>
      </c>
      <c r="D37" s="26" t="s">
        <v>18</v>
      </c>
      <c r="E37" s="30">
        <v>2.01</v>
      </c>
      <c r="F37" s="28">
        <v>500.0</v>
      </c>
      <c r="G37" s="32">
        <f t="shared" si="1"/>
        <v>6000</v>
      </c>
      <c r="H37" s="33">
        <f t="shared" si="2"/>
        <v>1005</v>
      </c>
      <c r="I37" s="30">
        <f t="shared" si="3"/>
        <v>12060</v>
      </c>
    </row>
    <row r="38" ht="15.75" customHeight="1">
      <c r="A38" s="24" t="s">
        <v>69</v>
      </c>
      <c r="B38" s="25" t="s">
        <v>70</v>
      </c>
      <c r="C38" s="26" t="s">
        <v>17</v>
      </c>
      <c r="D38" s="26" t="s">
        <v>18</v>
      </c>
      <c r="E38" s="30">
        <v>3.51</v>
      </c>
      <c r="F38" s="28">
        <v>500.0</v>
      </c>
      <c r="G38" s="32">
        <f t="shared" si="1"/>
        <v>6000</v>
      </c>
      <c r="H38" s="33">
        <f t="shared" si="2"/>
        <v>1755</v>
      </c>
      <c r="I38" s="30">
        <f t="shared" si="3"/>
        <v>21060</v>
      </c>
    </row>
    <row r="39" ht="15.75" customHeight="1">
      <c r="A39" s="24" t="s">
        <v>71</v>
      </c>
      <c r="B39" s="25" t="s">
        <v>72</v>
      </c>
      <c r="C39" s="26" t="s">
        <v>17</v>
      </c>
      <c r="D39" s="26" t="s">
        <v>18</v>
      </c>
      <c r="E39" s="30">
        <v>1.85</v>
      </c>
      <c r="F39" s="28">
        <v>400.0</v>
      </c>
      <c r="G39" s="32">
        <f t="shared" si="1"/>
        <v>4800</v>
      </c>
      <c r="H39" s="33">
        <f t="shared" si="2"/>
        <v>740</v>
      </c>
      <c r="I39" s="30">
        <f t="shared" si="3"/>
        <v>8880</v>
      </c>
    </row>
    <row r="40" ht="15.75" customHeight="1">
      <c r="A40" s="24" t="s">
        <v>73</v>
      </c>
      <c r="B40" s="25" t="s">
        <v>74</v>
      </c>
      <c r="C40" s="26" t="s">
        <v>17</v>
      </c>
      <c r="D40" s="26" t="s">
        <v>18</v>
      </c>
      <c r="E40" s="30">
        <v>15.24</v>
      </c>
      <c r="F40" s="28">
        <v>100.0</v>
      </c>
      <c r="G40" s="32">
        <f t="shared" si="1"/>
        <v>1200</v>
      </c>
      <c r="H40" s="33">
        <f t="shared" si="2"/>
        <v>1524</v>
      </c>
      <c r="I40" s="30">
        <f t="shared" si="3"/>
        <v>18288</v>
      </c>
    </row>
    <row r="41" ht="15.75" customHeight="1">
      <c r="A41" s="24" t="s">
        <v>75</v>
      </c>
      <c r="B41" s="25" t="s">
        <v>76</v>
      </c>
      <c r="C41" s="26" t="s">
        <v>17</v>
      </c>
      <c r="D41" s="26" t="s">
        <v>18</v>
      </c>
      <c r="E41" s="30">
        <v>15.24</v>
      </c>
      <c r="F41" s="28">
        <v>400.0</v>
      </c>
      <c r="G41" s="32">
        <f t="shared" si="1"/>
        <v>4800</v>
      </c>
      <c r="H41" s="33">
        <f t="shared" si="2"/>
        <v>6096</v>
      </c>
      <c r="I41" s="30">
        <f t="shared" si="3"/>
        <v>73152</v>
      </c>
    </row>
    <row r="42" ht="15.75" customHeight="1">
      <c r="A42" s="24" t="s">
        <v>77</v>
      </c>
      <c r="B42" s="25" t="s">
        <v>78</v>
      </c>
      <c r="C42" s="26" t="s">
        <v>17</v>
      </c>
      <c r="D42" s="26" t="s">
        <v>18</v>
      </c>
      <c r="E42" s="30">
        <v>2.73</v>
      </c>
      <c r="F42" s="28">
        <v>84.0</v>
      </c>
      <c r="G42" s="32">
        <f t="shared" si="1"/>
        <v>1008</v>
      </c>
      <c r="H42" s="33">
        <f t="shared" si="2"/>
        <v>229.32</v>
      </c>
      <c r="I42" s="30">
        <f t="shared" si="3"/>
        <v>2751.84</v>
      </c>
    </row>
    <row r="43" ht="15.75" customHeight="1">
      <c r="A43" s="24" t="s">
        <v>79</v>
      </c>
      <c r="B43" s="25" t="s">
        <v>80</v>
      </c>
      <c r="C43" s="26" t="s">
        <v>17</v>
      </c>
      <c r="D43" s="26" t="s">
        <v>18</v>
      </c>
      <c r="E43" s="30">
        <v>2.73</v>
      </c>
      <c r="F43" s="28">
        <v>58.0</v>
      </c>
      <c r="G43" s="32">
        <f t="shared" si="1"/>
        <v>696</v>
      </c>
      <c r="H43" s="33">
        <f t="shared" si="2"/>
        <v>158.34</v>
      </c>
      <c r="I43" s="30">
        <f t="shared" si="3"/>
        <v>1900.08</v>
      </c>
    </row>
    <row r="44" ht="15.75" customHeight="1">
      <c r="A44" s="35" t="s">
        <v>81</v>
      </c>
      <c r="B44" s="36" t="s">
        <v>82</v>
      </c>
      <c r="C44" s="26" t="s">
        <v>17</v>
      </c>
      <c r="D44" s="26" t="s">
        <v>18</v>
      </c>
      <c r="E44" s="30">
        <v>5.41</v>
      </c>
      <c r="F44" s="28">
        <v>20.0</v>
      </c>
      <c r="G44" s="32">
        <f t="shared" si="1"/>
        <v>240</v>
      </c>
      <c r="H44" s="33">
        <f t="shared" si="2"/>
        <v>108.2</v>
      </c>
      <c r="I44" s="30">
        <f t="shared" si="3"/>
        <v>1298.4</v>
      </c>
    </row>
    <row r="45" ht="15.75" customHeight="1">
      <c r="A45" s="35" t="s">
        <v>83</v>
      </c>
      <c r="B45" s="36" t="s">
        <v>84</v>
      </c>
      <c r="C45" s="26" t="s">
        <v>17</v>
      </c>
      <c r="D45" s="26" t="s">
        <v>18</v>
      </c>
      <c r="E45" s="30">
        <v>4.11</v>
      </c>
      <c r="F45" s="28">
        <v>600.0</v>
      </c>
      <c r="G45" s="32">
        <f t="shared" si="1"/>
        <v>7200</v>
      </c>
      <c r="H45" s="33">
        <f t="shared" si="2"/>
        <v>2466</v>
      </c>
      <c r="I45" s="30">
        <f t="shared" si="3"/>
        <v>29592</v>
      </c>
    </row>
    <row r="46" ht="15.75" customHeight="1">
      <c r="A46" s="35" t="s">
        <v>85</v>
      </c>
      <c r="B46" s="36" t="s">
        <v>86</v>
      </c>
      <c r="C46" s="26" t="s">
        <v>17</v>
      </c>
      <c r="D46" s="26" t="s">
        <v>18</v>
      </c>
      <c r="E46" s="30">
        <v>2.73</v>
      </c>
      <c r="F46" s="28">
        <v>2.0</v>
      </c>
      <c r="G46" s="32">
        <f t="shared" si="1"/>
        <v>24</v>
      </c>
      <c r="H46" s="33">
        <f t="shared" si="2"/>
        <v>5.46</v>
      </c>
      <c r="I46" s="30">
        <f t="shared" si="3"/>
        <v>65.52</v>
      </c>
    </row>
    <row r="47" ht="15.75" customHeight="1">
      <c r="A47" s="35" t="s">
        <v>87</v>
      </c>
      <c r="B47" s="36" t="s">
        <v>88</v>
      </c>
      <c r="C47" s="26" t="s">
        <v>17</v>
      </c>
      <c r="D47" s="26" t="s">
        <v>18</v>
      </c>
      <c r="E47" s="30">
        <v>2.83</v>
      </c>
      <c r="F47" s="28">
        <v>35.0</v>
      </c>
      <c r="G47" s="32">
        <f t="shared" si="1"/>
        <v>420</v>
      </c>
      <c r="H47" s="33">
        <f t="shared" si="2"/>
        <v>99.05</v>
      </c>
      <c r="I47" s="30">
        <f t="shared" si="3"/>
        <v>1188.6</v>
      </c>
    </row>
    <row r="48" ht="15.75" customHeight="1">
      <c r="A48" s="35" t="s">
        <v>89</v>
      </c>
      <c r="B48" s="36" t="s">
        <v>90</v>
      </c>
      <c r="C48" s="26" t="s">
        <v>17</v>
      </c>
      <c r="D48" s="26" t="s">
        <v>18</v>
      </c>
      <c r="E48" s="30">
        <v>9.25</v>
      </c>
      <c r="F48" s="28">
        <v>120.0</v>
      </c>
      <c r="G48" s="32">
        <f t="shared" si="1"/>
        <v>1440</v>
      </c>
      <c r="H48" s="33">
        <f t="shared" si="2"/>
        <v>1110</v>
      </c>
      <c r="I48" s="30">
        <f t="shared" si="3"/>
        <v>13320</v>
      </c>
    </row>
    <row r="49" ht="27.0" customHeight="1">
      <c r="A49" s="37" t="s">
        <v>91</v>
      </c>
      <c r="B49" s="38" t="s">
        <v>92</v>
      </c>
      <c r="C49" s="39" t="s">
        <v>17</v>
      </c>
      <c r="D49" s="39" t="s">
        <v>18</v>
      </c>
      <c r="E49" s="29">
        <v>10.0</v>
      </c>
      <c r="F49" s="28">
        <v>300.0</v>
      </c>
      <c r="G49" s="32">
        <f t="shared" si="1"/>
        <v>3600</v>
      </c>
      <c r="H49" s="33">
        <f t="shared" si="2"/>
        <v>3000</v>
      </c>
      <c r="I49" s="29">
        <f t="shared" si="3"/>
        <v>36000</v>
      </c>
    </row>
    <row r="50" ht="15.75" customHeight="1">
      <c r="A50" s="35" t="s">
        <v>93</v>
      </c>
      <c r="B50" s="36" t="s">
        <v>94</v>
      </c>
      <c r="C50" s="26" t="s">
        <v>17</v>
      </c>
      <c r="D50" s="26" t="s">
        <v>18</v>
      </c>
      <c r="E50" s="30">
        <v>2.83</v>
      </c>
      <c r="F50" s="28">
        <v>20.0</v>
      </c>
      <c r="G50" s="32">
        <f t="shared" si="1"/>
        <v>240</v>
      </c>
      <c r="H50" s="33">
        <f t="shared" si="2"/>
        <v>56.6</v>
      </c>
      <c r="I50" s="30">
        <f t="shared" si="3"/>
        <v>679.2</v>
      </c>
    </row>
    <row r="51" ht="15.75" customHeight="1">
      <c r="A51" s="35" t="s">
        <v>95</v>
      </c>
      <c r="B51" s="36" t="s">
        <v>96</v>
      </c>
      <c r="C51" s="26" t="s">
        <v>17</v>
      </c>
      <c r="D51" s="26" t="s">
        <v>18</v>
      </c>
      <c r="E51" s="30">
        <v>18.55</v>
      </c>
      <c r="F51" s="28">
        <v>200.0</v>
      </c>
      <c r="G51" s="32">
        <f t="shared" si="1"/>
        <v>2400</v>
      </c>
      <c r="H51" s="33">
        <f t="shared" si="2"/>
        <v>3710</v>
      </c>
      <c r="I51" s="30">
        <f t="shared" si="3"/>
        <v>44520</v>
      </c>
    </row>
    <row r="52" ht="15.75" customHeight="1">
      <c r="A52" s="35" t="s">
        <v>97</v>
      </c>
      <c r="B52" s="36" t="s">
        <v>98</v>
      </c>
      <c r="C52" s="26" t="s">
        <v>17</v>
      </c>
      <c r="D52" s="26" t="s">
        <v>18</v>
      </c>
      <c r="E52" s="30">
        <v>16.97</v>
      </c>
      <c r="F52" s="28">
        <v>70.0</v>
      </c>
      <c r="G52" s="32">
        <f t="shared" si="1"/>
        <v>840</v>
      </c>
      <c r="H52" s="33">
        <f t="shared" si="2"/>
        <v>1187.9</v>
      </c>
      <c r="I52" s="30">
        <f t="shared" si="3"/>
        <v>14254.8</v>
      </c>
    </row>
    <row r="53" ht="15.75" customHeight="1">
      <c r="A53" s="35" t="s">
        <v>99</v>
      </c>
      <c r="B53" s="36" t="s">
        <v>100</v>
      </c>
      <c r="C53" s="26" t="s">
        <v>17</v>
      </c>
      <c r="D53" s="26" t="s">
        <v>18</v>
      </c>
      <c r="E53" s="30">
        <v>18.55</v>
      </c>
      <c r="F53" s="28">
        <v>70.0</v>
      </c>
      <c r="G53" s="32">
        <f t="shared" si="1"/>
        <v>840</v>
      </c>
      <c r="H53" s="33">
        <f t="shared" si="2"/>
        <v>1298.5</v>
      </c>
      <c r="I53" s="30">
        <f t="shared" si="3"/>
        <v>15582</v>
      </c>
    </row>
    <row r="54" ht="15.75" customHeight="1">
      <c r="A54" s="35" t="s">
        <v>101</v>
      </c>
      <c r="B54" s="36" t="s">
        <v>102</v>
      </c>
      <c r="C54" s="26" t="s">
        <v>17</v>
      </c>
      <c r="D54" s="26" t="s">
        <v>18</v>
      </c>
      <c r="E54" s="30">
        <v>17.16</v>
      </c>
      <c r="F54" s="28">
        <v>10.0</v>
      </c>
      <c r="G54" s="32">
        <f t="shared" si="1"/>
        <v>120</v>
      </c>
      <c r="H54" s="33">
        <f t="shared" si="2"/>
        <v>171.6</v>
      </c>
      <c r="I54" s="30">
        <f t="shared" si="3"/>
        <v>2059.2</v>
      </c>
    </row>
    <row r="55" ht="29.25" customHeight="1">
      <c r="A55" s="37" t="s">
        <v>103</v>
      </c>
      <c r="B55" s="38" t="s">
        <v>104</v>
      </c>
      <c r="C55" s="26" t="s">
        <v>17</v>
      </c>
      <c r="D55" s="26" t="s">
        <v>18</v>
      </c>
      <c r="E55" s="29">
        <v>18.55</v>
      </c>
      <c r="F55" s="28">
        <v>200.0</v>
      </c>
      <c r="G55" s="32">
        <f t="shared" si="1"/>
        <v>2400</v>
      </c>
      <c r="H55" s="33">
        <f t="shared" si="2"/>
        <v>3710</v>
      </c>
      <c r="I55" s="29">
        <f t="shared" si="3"/>
        <v>44520</v>
      </c>
    </row>
    <row r="56" ht="15.75" customHeight="1">
      <c r="A56" s="35" t="s">
        <v>105</v>
      </c>
      <c r="B56" s="36" t="s">
        <v>106</v>
      </c>
      <c r="C56" s="26" t="s">
        <v>17</v>
      </c>
      <c r="D56" s="26" t="s">
        <v>18</v>
      </c>
      <c r="E56" s="30">
        <v>2.83</v>
      </c>
      <c r="F56" s="28">
        <v>200.0</v>
      </c>
      <c r="G56" s="32">
        <f t="shared" si="1"/>
        <v>2400</v>
      </c>
      <c r="H56" s="33">
        <f t="shared" si="2"/>
        <v>566</v>
      </c>
      <c r="I56" s="30">
        <f t="shared" si="3"/>
        <v>6792</v>
      </c>
    </row>
    <row r="57" ht="15.75" customHeight="1">
      <c r="A57" s="35" t="s">
        <v>107</v>
      </c>
      <c r="B57" s="36" t="s">
        <v>108</v>
      </c>
      <c r="C57" s="26" t="s">
        <v>17</v>
      </c>
      <c r="D57" s="26" t="s">
        <v>18</v>
      </c>
      <c r="E57" s="30">
        <v>2.83</v>
      </c>
      <c r="F57" s="28">
        <v>200.0</v>
      </c>
      <c r="G57" s="32">
        <f t="shared" si="1"/>
        <v>2400</v>
      </c>
      <c r="H57" s="33">
        <f t="shared" si="2"/>
        <v>566</v>
      </c>
      <c r="I57" s="30">
        <f t="shared" si="3"/>
        <v>6792</v>
      </c>
    </row>
    <row r="58" ht="15.75" customHeight="1">
      <c r="A58" s="35" t="s">
        <v>109</v>
      </c>
      <c r="B58" s="36" t="s">
        <v>110</v>
      </c>
      <c r="C58" s="26" t="s">
        <v>17</v>
      </c>
      <c r="D58" s="26" t="s">
        <v>18</v>
      </c>
      <c r="E58" s="30">
        <v>1.65</v>
      </c>
      <c r="F58" s="28">
        <v>273.0</v>
      </c>
      <c r="G58" s="32">
        <f t="shared" si="1"/>
        <v>3276</v>
      </c>
      <c r="H58" s="33">
        <f t="shared" si="2"/>
        <v>450.45</v>
      </c>
      <c r="I58" s="30">
        <f t="shared" si="3"/>
        <v>5405.4</v>
      </c>
    </row>
    <row r="59" ht="15.75" customHeight="1">
      <c r="A59" s="35" t="s">
        <v>111</v>
      </c>
      <c r="B59" s="40" t="s">
        <v>112</v>
      </c>
      <c r="C59" s="26" t="s">
        <v>17</v>
      </c>
      <c r="D59" s="26" t="s">
        <v>18</v>
      </c>
      <c r="E59" s="30">
        <v>1.65</v>
      </c>
      <c r="F59" s="28">
        <v>70.0</v>
      </c>
      <c r="G59" s="32">
        <f t="shared" si="1"/>
        <v>840</v>
      </c>
      <c r="H59" s="33">
        <f t="shared" si="2"/>
        <v>115.5</v>
      </c>
      <c r="I59" s="30">
        <f t="shared" si="3"/>
        <v>1386</v>
      </c>
    </row>
    <row r="60" ht="15.75" customHeight="1">
      <c r="A60" s="35" t="s">
        <v>113</v>
      </c>
      <c r="B60" s="36" t="s">
        <v>114</v>
      </c>
      <c r="C60" s="26" t="s">
        <v>17</v>
      </c>
      <c r="D60" s="26" t="s">
        <v>18</v>
      </c>
      <c r="E60" s="30">
        <v>3.7</v>
      </c>
      <c r="F60" s="28">
        <v>400.0</v>
      </c>
      <c r="G60" s="32">
        <f t="shared" si="1"/>
        <v>4800</v>
      </c>
      <c r="H60" s="33">
        <f t="shared" si="2"/>
        <v>1480</v>
      </c>
      <c r="I60" s="30">
        <f t="shared" si="3"/>
        <v>17760</v>
      </c>
    </row>
    <row r="61" ht="15.75" customHeight="1">
      <c r="A61" s="35" t="s">
        <v>115</v>
      </c>
      <c r="B61" s="36" t="s">
        <v>116</v>
      </c>
      <c r="C61" s="26" t="s">
        <v>17</v>
      </c>
      <c r="D61" s="26" t="s">
        <v>18</v>
      </c>
      <c r="E61" s="30">
        <v>3.51</v>
      </c>
      <c r="F61" s="28">
        <v>4.0</v>
      </c>
      <c r="G61" s="32">
        <f t="shared" si="1"/>
        <v>48</v>
      </c>
      <c r="H61" s="33">
        <f t="shared" si="2"/>
        <v>14.04</v>
      </c>
      <c r="I61" s="30">
        <f t="shared" si="3"/>
        <v>168.48</v>
      </c>
    </row>
    <row r="62" ht="15.75" customHeight="1">
      <c r="A62" s="35" t="s">
        <v>117</v>
      </c>
      <c r="B62" s="36" t="s">
        <v>118</v>
      </c>
      <c r="C62" s="26" t="s">
        <v>17</v>
      </c>
      <c r="D62" s="26" t="s">
        <v>18</v>
      </c>
      <c r="E62" s="30">
        <v>10.15</v>
      </c>
      <c r="F62" s="28">
        <v>40.0</v>
      </c>
      <c r="G62" s="32">
        <f t="shared" si="1"/>
        <v>480</v>
      </c>
      <c r="H62" s="33">
        <f t="shared" si="2"/>
        <v>406</v>
      </c>
      <c r="I62" s="30">
        <f t="shared" si="3"/>
        <v>4872</v>
      </c>
    </row>
    <row r="63" ht="15.75" customHeight="1">
      <c r="A63" s="35" t="s">
        <v>119</v>
      </c>
      <c r="B63" s="36" t="s">
        <v>120</v>
      </c>
      <c r="C63" s="26" t="s">
        <v>17</v>
      </c>
      <c r="D63" s="26" t="s">
        <v>18</v>
      </c>
      <c r="E63" s="30">
        <v>7.85</v>
      </c>
      <c r="F63" s="28">
        <v>15.0</v>
      </c>
      <c r="G63" s="32">
        <f t="shared" si="1"/>
        <v>180</v>
      </c>
      <c r="H63" s="33">
        <f t="shared" si="2"/>
        <v>117.75</v>
      </c>
      <c r="I63" s="30">
        <f t="shared" si="3"/>
        <v>1413</v>
      </c>
    </row>
    <row r="64" ht="15.75" customHeight="1">
      <c r="A64" s="35" t="s">
        <v>121</v>
      </c>
      <c r="B64" s="36" t="s">
        <v>122</v>
      </c>
      <c r="C64" s="26" t="s">
        <v>17</v>
      </c>
      <c r="D64" s="26" t="s">
        <v>18</v>
      </c>
      <c r="E64" s="30">
        <v>7.89</v>
      </c>
      <c r="F64" s="28">
        <v>70.0</v>
      </c>
      <c r="G64" s="32">
        <f t="shared" si="1"/>
        <v>840</v>
      </c>
      <c r="H64" s="33">
        <f t="shared" si="2"/>
        <v>552.3</v>
      </c>
      <c r="I64" s="30">
        <f t="shared" si="3"/>
        <v>6627.6</v>
      </c>
    </row>
    <row r="65" ht="15.75" customHeight="1">
      <c r="A65" s="35" t="s">
        <v>123</v>
      </c>
      <c r="B65" s="36" t="s">
        <v>124</v>
      </c>
      <c r="C65" s="26" t="s">
        <v>17</v>
      </c>
      <c r="D65" s="26" t="s">
        <v>18</v>
      </c>
      <c r="E65" s="30">
        <v>8.96</v>
      </c>
      <c r="F65" s="28">
        <v>200.0</v>
      </c>
      <c r="G65" s="32">
        <f t="shared" si="1"/>
        <v>2400</v>
      </c>
      <c r="H65" s="33">
        <f t="shared" si="2"/>
        <v>1792</v>
      </c>
      <c r="I65" s="30">
        <f t="shared" si="3"/>
        <v>21504</v>
      </c>
    </row>
    <row r="66" ht="15.75" customHeight="1">
      <c r="A66" s="35" t="s">
        <v>125</v>
      </c>
      <c r="B66" s="36" t="s">
        <v>126</v>
      </c>
      <c r="C66" s="26" t="s">
        <v>17</v>
      </c>
      <c r="D66" s="26" t="s">
        <v>18</v>
      </c>
      <c r="E66" s="30">
        <v>10.17</v>
      </c>
      <c r="F66" s="28">
        <v>20.0</v>
      </c>
      <c r="G66" s="32">
        <f t="shared" si="1"/>
        <v>240</v>
      </c>
      <c r="H66" s="33">
        <f t="shared" si="2"/>
        <v>203.4</v>
      </c>
      <c r="I66" s="30">
        <f t="shared" si="3"/>
        <v>2440.8</v>
      </c>
    </row>
    <row r="67" ht="15.75" customHeight="1">
      <c r="A67" s="35" t="s">
        <v>127</v>
      </c>
      <c r="B67" s="36" t="s">
        <v>128</v>
      </c>
      <c r="C67" s="26" t="s">
        <v>17</v>
      </c>
      <c r="D67" s="26" t="s">
        <v>18</v>
      </c>
      <c r="E67" s="30">
        <v>10.22</v>
      </c>
      <c r="F67" s="28">
        <v>30.0</v>
      </c>
      <c r="G67" s="32">
        <f t="shared" si="1"/>
        <v>360</v>
      </c>
      <c r="H67" s="33">
        <f t="shared" si="2"/>
        <v>306.6</v>
      </c>
      <c r="I67" s="30">
        <f t="shared" si="3"/>
        <v>3679.2</v>
      </c>
    </row>
    <row r="68" ht="15.75" customHeight="1">
      <c r="A68" s="35" t="s">
        <v>129</v>
      </c>
      <c r="B68" s="36" t="s">
        <v>130</v>
      </c>
      <c r="C68" s="26" t="s">
        <v>17</v>
      </c>
      <c r="D68" s="26" t="s">
        <v>18</v>
      </c>
      <c r="E68" s="30">
        <v>10.15</v>
      </c>
      <c r="F68" s="28">
        <v>30.0</v>
      </c>
      <c r="G68" s="32">
        <f t="shared" si="1"/>
        <v>360</v>
      </c>
      <c r="H68" s="33">
        <f t="shared" si="2"/>
        <v>304.5</v>
      </c>
      <c r="I68" s="30">
        <f t="shared" si="3"/>
        <v>3654</v>
      </c>
    </row>
    <row r="69" ht="15.75" customHeight="1">
      <c r="A69" s="35" t="s">
        <v>131</v>
      </c>
      <c r="B69" s="36" t="s">
        <v>132</v>
      </c>
      <c r="C69" s="26" t="s">
        <v>17</v>
      </c>
      <c r="D69" s="26" t="s">
        <v>18</v>
      </c>
      <c r="E69" s="30">
        <v>10.43</v>
      </c>
      <c r="F69" s="28">
        <v>20.0</v>
      </c>
      <c r="G69" s="32">
        <f t="shared" si="1"/>
        <v>240</v>
      </c>
      <c r="H69" s="33">
        <f t="shared" si="2"/>
        <v>208.6</v>
      </c>
      <c r="I69" s="30">
        <f t="shared" si="3"/>
        <v>2503.2</v>
      </c>
    </row>
    <row r="70" ht="15.75" customHeight="1">
      <c r="A70" s="35" t="s">
        <v>133</v>
      </c>
      <c r="B70" s="36" t="s">
        <v>134</v>
      </c>
      <c r="C70" s="26" t="s">
        <v>17</v>
      </c>
      <c r="D70" s="26" t="s">
        <v>18</v>
      </c>
      <c r="E70" s="30">
        <v>8.76</v>
      </c>
      <c r="F70" s="28">
        <v>150.0</v>
      </c>
      <c r="G70" s="32">
        <f t="shared" si="1"/>
        <v>1800</v>
      </c>
      <c r="H70" s="33">
        <f t="shared" si="2"/>
        <v>1314</v>
      </c>
      <c r="I70" s="30">
        <f t="shared" si="3"/>
        <v>15768</v>
      </c>
    </row>
    <row r="71" ht="15.75" customHeight="1">
      <c r="A71" s="35" t="s">
        <v>135</v>
      </c>
      <c r="B71" s="36" t="s">
        <v>136</v>
      </c>
      <c r="C71" s="26" t="s">
        <v>17</v>
      </c>
      <c r="D71" s="26" t="s">
        <v>18</v>
      </c>
      <c r="E71" s="30">
        <v>11.6</v>
      </c>
      <c r="F71" s="28">
        <v>175.0</v>
      </c>
      <c r="G71" s="32">
        <f t="shared" si="1"/>
        <v>2100</v>
      </c>
      <c r="H71" s="33">
        <f t="shared" si="2"/>
        <v>2030</v>
      </c>
      <c r="I71" s="30">
        <f t="shared" si="3"/>
        <v>24360</v>
      </c>
    </row>
    <row r="72" ht="15.75" customHeight="1">
      <c r="A72" s="35" t="s">
        <v>137</v>
      </c>
      <c r="B72" s="36" t="s">
        <v>138</v>
      </c>
      <c r="C72" s="26" t="s">
        <v>17</v>
      </c>
      <c r="D72" s="26" t="s">
        <v>18</v>
      </c>
      <c r="E72" s="30">
        <v>8.71</v>
      </c>
      <c r="F72" s="28">
        <v>175.0</v>
      </c>
      <c r="G72" s="32">
        <f t="shared" si="1"/>
        <v>2100</v>
      </c>
      <c r="H72" s="33">
        <f t="shared" si="2"/>
        <v>1524.25</v>
      </c>
      <c r="I72" s="30">
        <f t="shared" si="3"/>
        <v>18291</v>
      </c>
    </row>
    <row r="73" ht="15.75" customHeight="1">
      <c r="A73" s="35" t="s">
        <v>139</v>
      </c>
      <c r="B73" s="36" t="s">
        <v>140</v>
      </c>
      <c r="C73" s="26" t="s">
        <v>17</v>
      </c>
      <c r="D73" s="26" t="s">
        <v>18</v>
      </c>
      <c r="E73" s="30">
        <v>4.98</v>
      </c>
      <c r="F73" s="28">
        <v>5.0</v>
      </c>
      <c r="G73" s="32">
        <f t="shared" si="1"/>
        <v>60</v>
      </c>
      <c r="H73" s="33">
        <f t="shared" si="2"/>
        <v>24.9</v>
      </c>
      <c r="I73" s="30">
        <f t="shared" si="3"/>
        <v>298.8</v>
      </c>
    </row>
    <row r="74" ht="15.75" customHeight="1">
      <c r="A74" s="35" t="s">
        <v>141</v>
      </c>
      <c r="B74" s="36" t="s">
        <v>142</v>
      </c>
      <c r="C74" s="26" t="s">
        <v>17</v>
      </c>
      <c r="D74" s="26" t="s">
        <v>18</v>
      </c>
      <c r="E74" s="30">
        <v>1.37</v>
      </c>
      <c r="F74" s="28">
        <v>200.0</v>
      </c>
      <c r="G74" s="32">
        <f t="shared" si="1"/>
        <v>2400</v>
      </c>
      <c r="H74" s="33">
        <f t="shared" si="2"/>
        <v>274</v>
      </c>
      <c r="I74" s="30">
        <f t="shared" si="3"/>
        <v>3288</v>
      </c>
    </row>
    <row r="75" ht="15.75" customHeight="1">
      <c r="A75" s="35" t="s">
        <v>143</v>
      </c>
      <c r="B75" s="36" t="s">
        <v>144</v>
      </c>
      <c r="C75" s="26" t="s">
        <v>17</v>
      </c>
      <c r="D75" s="26" t="s">
        <v>18</v>
      </c>
      <c r="E75" s="30">
        <v>1.37</v>
      </c>
      <c r="F75" s="28">
        <v>99.0</v>
      </c>
      <c r="G75" s="32">
        <f t="shared" si="1"/>
        <v>1188</v>
      </c>
      <c r="H75" s="33">
        <f t="shared" si="2"/>
        <v>135.63</v>
      </c>
      <c r="I75" s="30">
        <f t="shared" si="3"/>
        <v>1627.56</v>
      </c>
    </row>
    <row r="76" ht="15.75" customHeight="1">
      <c r="A76" s="35" t="s">
        <v>145</v>
      </c>
      <c r="B76" s="36" t="s">
        <v>146</v>
      </c>
      <c r="C76" s="26" t="s">
        <v>17</v>
      </c>
      <c r="D76" s="26" t="s">
        <v>18</v>
      </c>
      <c r="E76" s="30">
        <v>2.73</v>
      </c>
      <c r="F76" s="28">
        <v>4.0</v>
      </c>
      <c r="G76" s="32">
        <f t="shared" si="1"/>
        <v>48</v>
      </c>
      <c r="H76" s="33">
        <f t="shared" si="2"/>
        <v>10.92</v>
      </c>
      <c r="I76" s="30">
        <f t="shared" si="3"/>
        <v>131.04</v>
      </c>
    </row>
    <row r="77" ht="15.75" customHeight="1">
      <c r="A77" s="41">
        <v>2.02030741E8</v>
      </c>
      <c r="B77" s="36" t="s">
        <v>147</v>
      </c>
      <c r="C77" s="26" t="s">
        <v>17</v>
      </c>
      <c r="D77" s="26" t="s">
        <v>18</v>
      </c>
      <c r="E77" s="30" t="s">
        <v>148</v>
      </c>
      <c r="F77" s="28">
        <v>200.0</v>
      </c>
      <c r="G77" s="32">
        <v>2400.0</v>
      </c>
      <c r="H77" s="33">
        <v>2200.0</v>
      </c>
      <c r="I77" s="30">
        <f t="shared" si="3"/>
        <v>26400</v>
      </c>
    </row>
    <row r="78" ht="15.75" customHeight="1">
      <c r="A78" s="42" t="s">
        <v>149</v>
      </c>
      <c r="B78" s="36" t="s">
        <v>150</v>
      </c>
      <c r="C78" s="26" t="s">
        <v>17</v>
      </c>
      <c r="D78" s="26" t="s">
        <v>18</v>
      </c>
      <c r="E78" s="30" t="s">
        <v>151</v>
      </c>
      <c r="F78" s="28">
        <v>200.0</v>
      </c>
      <c r="G78" s="32">
        <v>2400.0</v>
      </c>
      <c r="H78" s="33">
        <v>2322.0</v>
      </c>
      <c r="I78" s="30">
        <f t="shared" si="3"/>
        <v>27864</v>
      </c>
    </row>
    <row r="79" ht="15.75" customHeight="1">
      <c r="A79" s="42" t="s">
        <v>152</v>
      </c>
      <c r="B79" s="36" t="s">
        <v>153</v>
      </c>
      <c r="C79" s="26" t="s">
        <v>17</v>
      </c>
      <c r="D79" s="26" t="s">
        <v>18</v>
      </c>
      <c r="E79" s="30" t="s">
        <v>154</v>
      </c>
      <c r="F79" s="28">
        <v>200.0</v>
      </c>
      <c r="G79" s="32">
        <v>2400.0</v>
      </c>
      <c r="H79" s="33">
        <v>3710.0</v>
      </c>
      <c r="I79" s="30">
        <f t="shared" si="3"/>
        <v>44520</v>
      </c>
    </row>
    <row r="80" ht="15.75" customHeight="1">
      <c r="A80" s="43">
        <v>2.02030318E8</v>
      </c>
      <c r="B80" s="44" t="s">
        <v>155</v>
      </c>
      <c r="C80" s="26" t="s">
        <v>17</v>
      </c>
      <c r="D80" s="26" t="s">
        <v>18</v>
      </c>
      <c r="E80" s="30" t="s">
        <v>154</v>
      </c>
      <c r="F80" s="28">
        <v>200.0</v>
      </c>
      <c r="G80" s="32">
        <v>2400.0</v>
      </c>
      <c r="H80" s="33">
        <v>3710.0</v>
      </c>
      <c r="I80" s="30">
        <f t="shared" si="3"/>
        <v>44520</v>
      </c>
    </row>
    <row r="81" ht="15.75" customHeight="1">
      <c r="A81" s="43" t="s">
        <v>156</v>
      </c>
      <c r="B81" s="44" t="s">
        <v>157</v>
      </c>
      <c r="C81" s="26" t="s">
        <v>17</v>
      </c>
      <c r="D81" s="26" t="s">
        <v>18</v>
      </c>
      <c r="E81" s="30" t="s">
        <v>158</v>
      </c>
      <c r="F81" s="28">
        <v>100.0</v>
      </c>
      <c r="G81" s="32">
        <v>1200.0</v>
      </c>
      <c r="H81" s="33">
        <v>444.0</v>
      </c>
      <c r="I81" s="30">
        <f t="shared" si="3"/>
        <v>5328</v>
      </c>
    </row>
    <row r="82" ht="15.75" customHeight="1">
      <c r="A82" s="45" t="s">
        <v>159</v>
      </c>
      <c r="B82" s="8"/>
      <c r="C82" s="46"/>
      <c r="D82" s="46"/>
      <c r="E82" s="47">
        <f t="shared" ref="E82:I82" si="4">SUM(E12:E81)</f>
        <v>379.04</v>
      </c>
      <c r="F82" s="48">
        <f t="shared" si="4"/>
        <v>11671</v>
      </c>
      <c r="G82" s="48">
        <f t="shared" si="4"/>
        <v>140052</v>
      </c>
      <c r="H82" s="49">
        <f t="shared" si="4"/>
        <v>67661</v>
      </c>
      <c r="I82" s="49">
        <f t="shared" si="4"/>
        <v>811932</v>
      </c>
    </row>
    <row r="83" ht="15.75" customHeight="1">
      <c r="A83" s="50" t="s">
        <v>160</v>
      </c>
      <c r="B83" s="8"/>
      <c r="C83" s="26"/>
      <c r="D83" s="26"/>
      <c r="E83" s="51"/>
      <c r="F83" s="52"/>
      <c r="G83" s="53"/>
      <c r="H83" s="54"/>
      <c r="I83" s="51"/>
    </row>
    <row r="84" ht="15.75" customHeight="1">
      <c r="A84" s="24" t="s">
        <v>161</v>
      </c>
      <c r="B84" s="55" t="s">
        <v>162</v>
      </c>
      <c r="C84" s="26" t="s">
        <v>17</v>
      </c>
      <c r="D84" s="26" t="s">
        <v>18</v>
      </c>
      <c r="E84" s="30">
        <v>37.95</v>
      </c>
      <c r="F84" s="28">
        <v>500.0</v>
      </c>
      <c r="G84" s="32">
        <f t="shared" ref="G84:G91" si="5">F84*12</f>
        <v>6000</v>
      </c>
      <c r="H84" s="33">
        <f t="shared" ref="H84:H91" si="6">F84*E84</f>
        <v>18975</v>
      </c>
      <c r="I84" s="30">
        <f t="shared" ref="I84:I91" si="7">H84*12</f>
        <v>227700</v>
      </c>
    </row>
    <row r="85" ht="15.75" customHeight="1">
      <c r="A85" s="24" t="s">
        <v>163</v>
      </c>
      <c r="B85" s="55" t="s">
        <v>164</v>
      </c>
      <c r="C85" s="26" t="s">
        <v>17</v>
      </c>
      <c r="D85" s="26" t="s">
        <v>18</v>
      </c>
      <c r="E85" s="30">
        <v>24.2</v>
      </c>
      <c r="F85" s="28">
        <v>100.0</v>
      </c>
      <c r="G85" s="32">
        <f t="shared" si="5"/>
        <v>1200</v>
      </c>
      <c r="H85" s="33">
        <f t="shared" si="6"/>
        <v>2420</v>
      </c>
      <c r="I85" s="30">
        <f t="shared" si="7"/>
        <v>29040</v>
      </c>
    </row>
    <row r="86" ht="15.75" customHeight="1">
      <c r="A86" s="24" t="s">
        <v>165</v>
      </c>
      <c r="B86" s="55" t="s">
        <v>166</v>
      </c>
      <c r="C86" s="26" t="s">
        <v>17</v>
      </c>
      <c r="D86" s="26" t="s">
        <v>18</v>
      </c>
      <c r="E86" s="30">
        <v>24.2</v>
      </c>
      <c r="F86" s="28">
        <v>100.0</v>
      </c>
      <c r="G86" s="32">
        <f t="shared" si="5"/>
        <v>1200</v>
      </c>
      <c r="H86" s="33">
        <f t="shared" si="6"/>
        <v>2420</v>
      </c>
      <c r="I86" s="30">
        <f t="shared" si="7"/>
        <v>29040</v>
      </c>
    </row>
    <row r="87" ht="15.75" customHeight="1">
      <c r="A87" s="24" t="s">
        <v>167</v>
      </c>
      <c r="B87" s="55" t="s">
        <v>168</v>
      </c>
      <c r="C87" s="26" t="s">
        <v>17</v>
      </c>
      <c r="D87" s="26" t="s">
        <v>18</v>
      </c>
      <c r="E87" s="30">
        <v>24.2</v>
      </c>
      <c r="F87" s="28">
        <v>220.0</v>
      </c>
      <c r="G87" s="32">
        <f t="shared" si="5"/>
        <v>2640</v>
      </c>
      <c r="H87" s="33">
        <f t="shared" si="6"/>
        <v>5324</v>
      </c>
      <c r="I87" s="30">
        <f t="shared" si="7"/>
        <v>63888</v>
      </c>
    </row>
    <row r="88" ht="15.75" customHeight="1">
      <c r="A88" s="56">
        <v>2.05020097E8</v>
      </c>
      <c r="B88" s="55" t="s">
        <v>169</v>
      </c>
      <c r="C88" s="26" t="s">
        <v>17</v>
      </c>
      <c r="D88" s="26" t="s">
        <v>18</v>
      </c>
      <c r="E88" s="30">
        <v>24.2</v>
      </c>
      <c r="F88" s="28">
        <v>30.0</v>
      </c>
      <c r="G88" s="32">
        <f t="shared" si="5"/>
        <v>360</v>
      </c>
      <c r="H88" s="33">
        <f t="shared" si="6"/>
        <v>726</v>
      </c>
      <c r="I88" s="30">
        <f t="shared" si="7"/>
        <v>8712</v>
      </c>
    </row>
    <row r="89" ht="15.75" customHeight="1">
      <c r="A89" s="26">
        <v>2.05020127E8</v>
      </c>
      <c r="B89" s="55" t="s">
        <v>170</v>
      </c>
      <c r="C89" s="26" t="s">
        <v>17</v>
      </c>
      <c r="D89" s="26" t="s">
        <v>18</v>
      </c>
      <c r="E89" s="30">
        <v>24.2</v>
      </c>
      <c r="F89" s="28">
        <v>30.0</v>
      </c>
      <c r="G89" s="32">
        <f t="shared" si="5"/>
        <v>360</v>
      </c>
      <c r="H89" s="33">
        <f t="shared" si="6"/>
        <v>726</v>
      </c>
      <c r="I89" s="30">
        <f t="shared" si="7"/>
        <v>8712</v>
      </c>
    </row>
    <row r="90" ht="15.75" customHeight="1">
      <c r="A90" s="26">
        <v>2.05020062E8</v>
      </c>
      <c r="B90" s="55" t="s">
        <v>171</v>
      </c>
      <c r="C90" s="26" t="s">
        <v>17</v>
      </c>
      <c r="D90" s="26" t="s">
        <v>18</v>
      </c>
      <c r="E90" s="30">
        <v>24.2</v>
      </c>
      <c r="F90" s="28">
        <v>20.0</v>
      </c>
      <c r="G90" s="32">
        <f t="shared" si="5"/>
        <v>240</v>
      </c>
      <c r="H90" s="33">
        <f t="shared" si="6"/>
        <v>484</v>
      </c>
      <c r="I90" s="30">
        <f t="shared" si="7"/>
        <v>5808</v>
      </c>
    </row>
    <row r="91" ht="15.75" customHeight="1">
      <c r="A91" s="24" t="s">
        <v>172</v>
      </c>
      <c r="B91" s="55" t="s">
        <v>173</v>
      </c>
      <c r="C91" s="26" t="s">
        <v>17</v>
      </c>
      <c r="D91" s="26" t="s">
        <v>18</v>
      </c>
      <c r="E91" s="30">
        <v>24.2</v>
      </c>
      <c r="F91" s="28">
        <v>200.0</v>
      </c>
      <c r="G91" s="32">
        <f t="shared" si="5"/>
        <v>2400</v>
      </c>
      <c r="H91" s="33">
        <f t="shared" si="6"/>
        <v>4840</v>
      </c>
      <c r="I91" s="30">
        <f t="shared" si="7"/>
        <v>58080</v>
      </c>
    </row>
    <row r="92" ht="15.75" customHeight="1">
      <c r="A92" s="45" t="s">
        <v>174</v>
      </c>
      <c r="B92" s="8"/>
      <c r="C92" s="57"/>
      <c r="D92" s="57"/>
      <c r="E92" s="58"/>
      <c r="F92" s="48">
        <f t="shared" ref="F92:I92" si="8">SUM(F84:F91)</f>
        <v>1200</v>
      </c>
      <c r="G92" s="48">
        <f t="shared" si="8"/>
        <v>14400</v>
      </c>
      <c r="H92" s="59">
        <f t="shared" si="8"/>
        <v>35915</v>
      </c>
      <c r="I92" s="60">
        <f t="shared" si="8"/>
        <v>430980</v>
      </c>
    </row>
    <row r="93" ht="15.75" customHeight="1">
      <c r="A93" s="50" t="s">
        <v>175</v>
      </c>
      <c r="B93" s="7"/>
      <c r="C93" s="7"/>
      <c r="D93" s="7"/>
      <c r="E93" s="7"/>
      <c r="F93" s="7"/>
      <c r="G93" s="7"/>
      <c r="H93" s="7"/>
      <c r="I93" s="7"/>
    </row>
    <row r="94" ht="15.75" customHeight="1">
      <c r="A94" s="61" t="s">
        <v>176</v>
      </c>
      <c r="B94" s="62" t="s">
        <v>177</v>
      </c>
      <c r="C94" s="26" t="s">
        <v>17</v>
      </c>
      <c r="D94" s="26" t="s">
        <v>18</v>
      </c>
      <c r="E94" s="29">
        <v>4.06</v>
      </c>
      <c r="F94" s="28">
        <v>340.0</v>
      </c>
      <c r="G94" s="28">
        <f t="shared" ref="G94:G108" si="9">F94*12</f>
        <v>4080</v>
      </c>
      <c r="H94" s="29">
        <f t="shared" ref="H94:H108" si="10">F94*E94</f>
        <v>1380.4</v>
      </c>
      <c r="I94" s="30">
        <f t="shared" ref="I94:I108" si="11">H94*12</f>
        <v>16564.8</v>
      </c>
    </row>
    <row r="95" ht="15.75" customHeight="1">
      <c r="A95" s="61" t="s">
        <v>178</v>
      </c>
      <c r="B95" s="63" t="s">
        <v>179</v>
      </c>
      <c r="C95" s="26" t="s">
        <v>17</v>
      </c>
      <c r="D95" s="26" t="s">
        <v>18</v>
      </c>
      <c r="E95" s="64">
        <v>21.0</v>
      </c>
      <c r="F95" s="28">
        <v>400.0</v>
      </c>
      <c r="G95" s="28">
        <f t="shared" si="9"/>
        <v>4800</v>
      </c>
      <c r="H95" s="29">
        <f t="shared" si="10"/>
        <v>8400</v>
      </c>
      <c r="I95" s="30">
        <f t="shared" si="11"/>
        <v>100800</v>
      </c>
    </row>
    <row r="96" ht="15.75" customHeight="1">
      <c r="A96" s="35" t="s">
        <v>180</v>
      </c>
      <c r="B96" s="63" t="s">
        <v>181</v>
      </c>
      <c r="C96" s="26" t="s">
        <v>17</v>
      </c>
      <c r="D96" s="26" t="s">
        <v>18</v>
      </c>
      <c r="E96" s="64">
        <v>20.13</v>
      </c>
      <c r="F96" s="28">
        <v>400.0</v>
      </c>
      <c r="G96" s="28">
        <f t="shared" si="9"/>
        <v>4800</v>
      </c>
      <c r="H96" s="29">
        <f t="shared" si="10"/>
        <v>8052</v>
      </c>
      <c r="I96" s="30">
        <f t="shared" si="11"/>
        <v>96624</v>
      </c>
    </row>
    <row r="97" ht="15.75" customHeight="1">
      <c r="A97" s="35" t="s">
        <v>182</v>
      </c>
      <c r="B97" s="65" t="s">
        <v>183</v>
      </c>
      <c r="C97" s="26" t="s">
        <v>17</v>
      </c>
      <c r="D97" s="26" t="s">
        <v>18</v>
      </c>
      <c r="E97" s="30">
        <v>21.0</v>
      </c>
      <c r="F97" s="28">
        <v>600.0</v>
      </c>
      <c r="G97" s="28">
        <f t="shared" si="9"/>
        <v>7200</v>
      </c>
      <c r="H97" s="29">
        <f t="shared" si="10"/>
        <v>12600</v>
      </c>
      <c r="I97" s="30">
        <f t="shared" si="11"/>
        <v>151200</v>
      </c>
    </row>
    <row r="98" ht="15.75" customHeight="1">
      <c r="A98" s="35" t="s">
        <v>184</v>
      </c>
      <c r="B98" s="65" t="s">
        <v>185</v>
      </c>
      <c r="C98" s="26" t="s">
        <v>17</v>
      </c>
      <c r="D98" s="26" t="s">
        <v>18</v>
      </c>
      <c r="E98" s="30">
        <v>18.0</v>
      </c>
      <c r="F98" s="28">
        <v>600.0</v>
      </c>
      <c r="G98" s="28">
        <f t="shared" si="9"/>
        <v>7200</v>
      </c>
      <c r="H98" s="29">
        <f t="shared" si="10"/>
        <v>10800</v>
      </c>
      <c r="I98" s="30">
        <f t="shared" si="11"/>
        <v>129600</v>
      </c>
    </row>
    <row r="99" ht="15.75" customHeight="1">
      <c r="A99" s="35" t="s">
        <v>186</v>
      </c>
      <c r="B99" s="65" t="s">
        <v>187</v>
      </c>
      <c r="C99" s="26" t="s">
        <v>17</v>
      </c>
      <c r="D99" s="26" t="s">
        <v>18</v>
      </c>
      <c r="E99" s="30">
        <v>4.11</v>
      </c>
      <c r="F99" s="28">
        <v>125.0</v>
      </c>
      <c r="G99" s="28">
        <f t="shared" si="9"/>
        <v>1500</v>
      </c>
      <c r="H99" s="29">
        <f t="shared" si="10"/>
        <v>513.75</v>
      </c>
      <c r="I99" s="30">
        <f t="shared" si="11"/>
        <v>6165</v>
      </c>
    </row>
    <row r="100" ht="15.75" customHeight="1">
      <c r="A100" s="35" t="s">
        <v>188</v>
      </c>
      <c r="B100" s="65" t="s">
        <v>189</v>
      </c>
      <c r="C100" s="26" t="s">
        <v>17</v>
      </c>
      <c r="D100" s="26" t="s">
        <v>18</v>
      </c>
      <c r="E100" s="30">
        <v>4.11</v>
      </c>
      <c r="F100" s="28">
        <v>125.0</v>
      </c>
      <c r="G100" s="28">
        <f t="shared" si="9"/>
        <v>1500</v>
      </c>
      <c r="H100" s="33">
        <f t="shared" si="10"/>
        <v>513.75</v>
      </c>
      <c r="I100" s="30">
        <f t="shared" si="11"/>
        <v>6165</v>
      </c>
    </row>
    <row r="101" ht="15.75" customHeight="1">
      <c r="A101" s="35" t="s">
        <v>190</v>
      </c>
      <c r="B101" s="66" t="s">
        <v>191</v>
      </c>
      <c r="C101" s="26" t="s">
        <v>17</v>
      </c>
      <c r="D101" s="26" t="s">
        <v>18</v>
      </c>
      <c r="E101" s="30">
        <v>4.11</v>
      </c>
      <c r="F101" s="28">
        <v>425.0</v>
      </c>
      <c r="G101" s="28">
        <f t="shared" si="9"/>
        <v>5100</v>
      </c>
      <c r="H101" s="33">
        <f t="shared" si="10"/>
        <v>1746.75</v>
      </c>
      <c r="I101" s="30">
        <f t="shared" si="11"/>
        <v>20961</v>
      </c>
    </row>
    <row r="102" ht="15.75" customHeight="1">
      <c r="A102" s="35" t="s">
        <v>192</v>
      </c>
      <c r="B102" s="66" t="s">
        <v>193</v>
      </c>
      <c r="C102" s="26" t="s">
        <v>17</v>
      </c>
      <c r="D102" s="26" t="s">
        <v>18</v>
      </c>
      <c r="E102" s="30">
        <v>4.11</v>
      </c>
      <c r="F102" s="28">
        <v>125.0</v>
      </c>
      <c r="G102" s="28">
        <f t="shared" si="9"/>
        <v>1500</v>
      </c>
      <c r="H102" s="33">
        <f t="shared" si="10"/>
        <v>513.75</v>
      </c>
      <c r="I102" s="30">
        <f t="shared" si="11"/>
        <v>6165</v>
      </c>
    </row>
    <row r="103" ht="15.75" customHeight="1">
      <c r="A103" s="35" t="s">
        <v>194</v>
      </c>
      <c r="B103" s="66" t="s">
        <v>195</v>
      </c>
      <c r="C103" s="26" t="s">
        <v>17</v>
      </c>
      <c r="D103" s="26" t="s">
        <v>18</v>
      </c>
      <c r="E103" s="30">
        <v>13.51</v>
      </c>
      <c r="F103" s="28">
        <v>425.0</v>
      </c>
      <c r="G103" s="28">
        <f t="shared" si="9"/>
        <v>5100</v>
      </c>
      <c r="H103" s="33">
        <f t="shared" si="10"/>
        <v>5741.75</v>
      </c>
      <c r="I103" s="30">
        <f t="shared" si="11"/>
        <v>68901</v>
      </c>
    </row>
    <row r="104" ht="15.75" customHeight="1">
      <c r="A104" s="35" t="s">
        <v>196</v>
      </c>
      <c r="B104" s="66" t="s">
        <v>197</v>
      </c>
      <c r="C104" s="26" t="s">
        <v>17</v>
      </c>
      <c r="D104" s="26" t="s">
        <v>18</v>
      </c>
      <c r="E104" s="30">
        <v>46.88</v>
      </c>
      <c r="F104" s="28">
        <v>425.0</v>
      </c>
      <c r="G104" s="28">
        <f t="shared" si="9"/>
        <v>5100</v>
      </c>
      <c r="H104" s="33">
        <f t="shared" si="10"/>
        <v>19924</v>
      </c>
      <c r="I104" s="30">
        <f t="shared" si="11"/>
        <v>239088</v>
      </c>
    </row>
    <row r="105" ht="15.75" customHeight="1">
      <c r="A105" s="35" t="s">
        <v>198</v>
      </c>
      <c r="B105" s="66" t="s">
        <v>199</v>
      </c>
      <c r="C105" s="26" t="s">
        <v>17</v>
      </c>
      <c r="D105" s="26" t="s">
        <v>18</v>
      </c>
      <c r="E105" s="30">
        <v>23.0</v>
      </c>
      <c r="F105" s="28">
        <v>595.0</v>
      </c>
      <c r="G105" s="28">
        <f t="shared" si="9"/>
        <v>7140</v>
      </c>
      <c r="H105" s="33">
        <f t="shared" si="10"/>
        <v>13685</v>
      </c>
      <c r="I105" s="30">
        <f t="shared" si="11"/>
        <v>164220</v>
      </c>
    </row>
    <row r="106" ht="15.75" customHeight="1">
      <c r="A106" s="35" t="s">
        <v>200</v>
      </c>
      <c r="B106" s="66" t="s">
        <v>201</v>
      </c>
      <c r="C106" s="26" t="s">
        <v>17</v>
      </c>
      <c r="D106" s="26" t="s">
        <v>18</v>
      </c>
      <c r="E106" s="30">
        <v>26.25</v>
      </c>
      <c r="F106" s="28">
        <v>595.0</v>
      </c>
      <c r="G106" s="28">
        <f t="shared" si="9"/>
        <v>7140</v>
      </c>
      <c r="H106" s="33">
        <f t="shared" si="10"/>
        <v>15618.75</v>
      </c>
      <c r="I106" s="30">
        <f t="shared" si="11"/>
        <v>187425</v>
      </c>
    </row>
    <row r="107" ht="15.75" customHeight="1">
      <c r="A107" s="35" t="s">
        <v>202</v>
      </c>
      <c r="B107" s="66" t="s">
        <v>203</v>
      </c>
      <c r="C107" s="26" t="s">
        <v>17</v>
      </c>
      <c r="D107" s="26" t="s">
        <v>18</v>
      </c>
      <c r="E107" s="30">
        <v>46.88</v>
      </c>
      <c r="F107" s="28">
        <v>340.0</v>
      </c>
      <c r="G107" s="28">
        <f t="shared" si="9"/>
        <v>4080</v>
      </c>
      <c r="H107" s="33">
        <f t="shared" si="10"/>
        <v>15939.2</v>
      </c>
      <c r="I107" s="30">
        <f t="shared" si="11"/>
        <v>191270.4</v>
      </c>
    </row>
    <row r="108" ht="15.75" customHeight="1">
      <c r="A108" s="24" t="s">
        <v>204</v>
      </c>
      <c r="B108" s="67" t="s">
        <v>205</v>
      </c>
      <c r="C108" s="26" t="s">
        <v>17</v>
      </c>
      <c r="D108" s="26" t="s">
        <v>18</v>
      </c>
      <c r="E108" s="30">
        <v>12.0</v>
      </c>
      <c r="F108" s="28">
        <v>100.0</v>
      </c>
      <c r="G108" s="28">
        <f t="shared" si="9"/>
        <v>1200</v>
      </c>
      <c r="H108" s="33">
        <f t="shared" si="10"/>
        <v>1200</v>
      </c>
      <c r="I108" s="30">
        <f t="shared" si="11"/>
        <v>14400</v>
      </c>
    </row>
    <row r="109" ht="15.75" customHeight="1">
      <c r="A109" s="45"/>
      <c r="B109" s="8"/>
      <c r="C109" s="57"/>
      <c r="D109" s="57"/>
      <c r="E109" s="58"/>
      <c r="F109" s="48">
        <f t="shared" ref="F109:I109" si="12">SUM(F94:F108)</f>
        <v>5620</v>
      </c>
      <c r="G109" s="48">
        <f t="shared" si="12"/>
        <v>67440</v>
      </c>
      <c r="H109" s="59">
        <f t="shared" si="12"/>
        <v>116629.1</v>
      </c>
      <c r="I109" s="59">
        <f t="shared" si="12"/>
        <v>1399549.2</v>
      </c>
    </row>
    <row r="110" ht="15.75" customHeight="1">
      <c r="A110" s="68" t="s">
        <v>206</v>
      </c>
      <c r="B110" s="8"/>
      <c r="C110" s="69"/>
      <c r="D110" s="69"/>
      <c r="E110" s="70"/>
      <c r="F110" s="71">
        <f t="shared" ref="F110:I110" si="13">F82+F92+F109</f>
        <v>18491</v>
      </c>
      <c r="G110" s="71">
        <f t="shared" si="13"/>
        <v>221892</v>
      </c>
      <c r="H110" s="72">
        <f t="shared" si="13"/>
        <v>220205.1</v>
      </c>
      <c r="I110" s="71">
        <f t="shared" si="13"/>
        <v>2642461.2</v>
      </c>
    </row>
    <row r="111" ht="15.75" customHeight="1">
      <c r="A111" s="73"/>
      <c r="B111" s="74"/>
      <c r="C111" s="74"/>
      <c r="D111" s="74"/>
      <c r="E111" s="51"/>
      <c r="F111" s="52"/>
      <c r="G111" s="53"/>
      <c r="H111" s="54"/>
      <c r="I111" s="75"/>
    </row>
    <row r="112" ht="15.75" customHeight="1">
      <c r="A112" s="76" t="s">
        <v>207</v>
      </c>
      <c r="B112" s="8"/>
      <c r="C112" s="77"/>
      <c r="D112" s="77"/>
      <c r="E112" s="78"/>
      <c r="F112" s="79"/>
      <c r="G112" s="80"/>
      <c r="H112" s="81"/>
      <c r="I112" s="82"/>
    </row>
    <row r="113" ht="15.75" customHeight="1">
      <c r="A113" s="50" t="s">
        <v>208</v>
      </c>
      <c r="B113" s="8"/>
      <c r="C113" s="83"/>
      <c r="D113" s="83"/>
      <c r="E113" s="84"/>
      <c r="F113" s="52"/>
      <c r="G113" s="53"/>
      <c r="H113" s="54"/>
      <c r="I113" s="75"/>
    </row>
    <row r="114" ht="15.75" customHeight="1">
      <c r="A114" s="85" t="s">
        <v>209</v>
      </c>
      <c r="B114" s="86" t="s">
        <v>210</v>
      </c>
      <c r="C114" s="26" t="s">
        <v>17</v>
      </c>
      <c r="D114" s="26" t="s">
        <v>18</v>
      </c>
      <c r="E114" s="30">
        <v>6.3</v>
      </c>
      <c r="F114" s="87">
        <v>1400.0</v>
      </c>
      <c r="G114" s="88">
        <f t="shared" ref="G114:G122" si="14">F114*12</f>
        <v>16800</v>
      </c>
      <c r="H114" s="33">
        <f t="shared" ref="H114:H122" si="15">F114*E114</f>
        <v>8820</v>
      </c>
      <c r="I114" s="30">
        <f t="shared" ref="I114:I122" si="16">H114*12</f>
        <v>105840</v>
      </c>
    </row>
    <row r="115" ht="15.75" customHeight="1">
      <c r="A115" s="85" t="s">
        <v>211</v>
      </c>
      <c r="B115" s="89" t="s">
        <v>212</v>
      </c>
      <c r="C115" s="26" t="s">
        <v>17</v>
      </c>
      <c r="D115" s="26" t="s">
        <v>18</v>
      </c>
      <c r="E115" s="30">
        <v>10.0</v>
      </c>
      <c r="F115" s="87">
        <v>350.0</v>
      </c>
      <c r="G115" s="88">
        <f t="shared" si="14"/>
        <v>4200</v>
      </c>
      <c r="H115" s="33">
        <f t="shared" si="15"/>
        <v>3500</v>
      </c>
      <c r="I115" s="30">
        <f t="shared" si="16"/>
        <v>42000</v>
      </c>
    </row>
    <row r="116" ht="15.75" customHeight="1">
      <c r="A116" s="85" t="s">
        <v>213</v>
      </c>
      <c r="B116" s="90" t="s">
        <v>214</v>
      </c>
      <c r="C116" s="26" t="s">
        <v>17</v>
      </c>
      <c r="D116" s="26" t="s">
        <v>18</v>
      </c>
      <c r="E116" s="30">
        <v>6.15</v>
      </c>
      <c r="F116" s="87">
        <v>400.0</v>
      </c>
      <c r="G116" s="88">
        <f t="shared" si="14"/>
        <v>4800</v>
      </c>
      <c r="H116" s="33">
        <f t="shared" si="15"/>
        <v>2460</v>
      </c>
      <c r="I116" s="30">
        <f t="shared" si="16"/>
        <v>29520</v>
      </c>
    </row>
    <row r="117" ht="33.0" customHeight="1">
      <c r="A117" s="91" t="s">
        <v>215</v>
      </c>
      <c r="B117" s="92" t="s">
        <v>216</v>
      </c>
      <c r="C117" s="26" t="s">
        <v>17</v>
      </c>
      <c r="D117" s="26" t="s">
        <v>18</v>
      </c>
      <c r="E117" s="30">
        <v>17.67</v>
      </c>
      <c r="F117" s="87">
        <v>450.0</v>
      </c>
      <c r="G117" s="88">
        <f t="shared" si="14"/>
        <v>5400</v>
      </c>
      <c r="H117" s="33">
        <f t="shared" si="15"/>
        <v>7951.5</v>
      </c>
      <c r="I117" s="30">
        <f t="shared" si="16"/>
        <v>95418</v>
      </c>
    </row>
    <row r="118" ht="33.0" customHeight="1">
      <c r="A118" s="91" t="s">
        <v>217</v>
      </c>
      <c r="B118" s="93" t="s">
        <v>218</v>
      </c>
      <c r="C118" s="26" t="s">
        <v>17</v>
      </c>
      <c r="D118" s="26" t="s">
        <v>18</v>
      </c>
      <c r="E118" s="30">
        <v>17.67</v>
      </c>
      <c r="F118" s="87">
        <v>450.0</v>
      </c>
      <c r="G118" s="88">
        <f t="shared" si="14"/>
        <v>5400</v>
      </c>
      <c r="H118" s="33">
        <f t="shared" si="15"/>
        <v>7951.5</v>
      </c>
      <c r="I118" s="30">
        <f t="shared" si="16"/>
        <v>95418</v>
      </c>
    </row>
    <row r="119" ht="15.75" customHeight="1">
      <c r="A119" s="94" t="s">
        <v>219</v>
      </c>
      <c r="B119" s="95" t="s">
        <v>220</v>
      </c>
      <c r="C119" s="26" t="s">
        <v>17</v>
      </c>
      <c r="D119" s="26" t="s">
        <v>18</v>
      </c>
      <c r="E119" s="30">
        <v>17.67</v>
      </c>
      <c r="F119" s="87">
        <v>450.0</v>
      </c>
      <c r="G119" s="88">
        <f t="shared" si="14"/>
        <v>5400</v>
      </c>
      <c r="H119" s="33">
        <f t="shared" si="15"/>
        <v>7951.5</v>
      </c>
      <c r="I119" s="30">
        <f t="shared" si="16"/>
        <v>95418</v>
      </c>
    </row>
    <row r="120" ht="33.0" customHeight="1">
      <c r="A120" s="91" t="s">
        <v>221</v>
      </c>
      <c r="B120" s="93" t="s">
        <v>222</v>
      </c>
      <c r="C120" s="26" t="s">
        <v>17</v>
      </c>
      <c r="D120" s="26" t="s">
        <v>18</v>
      </c>
      <c r="E120" s="30">
        <v>7.71</v>
      </c>
      <c r="F120" s="87">
        <v>400.0</v>
      </c>
      <c r="G120" s="88">
        <f t="shared" si="14"/>
        <v>4800</v>
      </c>
      <c r="H120" s="33">
        <f t="shared" si="15"/>
        <v>3084</v>
      </c>
      <c r="I120" s="30">
        <f t="shared" si="16"/>
        <v>37008</v>
      </c>
    </row>
    <row r="121" ht="33.75" customHeight="1">
      <c r="A121" s="91" t="s">
        <v>223</v>
      </c>
      <c r="B121" s="93" t="s">
        <v>224</v>
      </c>
      <c r="C121" s="26" t="s">
        <v>17</v>
      </c>
      <c r="D121" s="26" t="s">
        <v>18</v>
      </c>
      <c r="E121" s="30">
        <v>17.67</v>
      </c>
      <c r="F121" s="87">
        <v>400.0</v>
      </c>
      <c r="G121" s="88">
        <f t="shared" si="14"/>
        <v>4800</v>
      </c>
      <c r="H121" s="33">
        <f t="shared" si="15"/>
        <v>7068</v>
      </c>
      <c r="I121" s="30">
        <f t="shared" si="16"/>
        <v>84816</v>
      </c>
    </row>
    <row r="122" ht="15.75" customHeight="1">
      <c r="A122" s="85" t="s">
        <v>225</v>
      </c>
      <c r="B122" s="96" t="s">
        <v>226</v>
      </c>
      <c r="C122" s="26" t="s">
        <v>17</v>
      </c>
      <c r="D122" s="26" t="s">
        <v>18</v>
      </c>
      <c r="E122" s="30">
        <v>10.9</v>
      </c>
      <c r="F122" s="87">
        <v>400.0</v>
      </c>
      <c r="G122" s="88">
        <f t="shared" si="14"/>
        <v>4800</v>
      </c>
      <c r="H122" s="33">
        <f t="shared" si="15"/>
        <v>4360</v>
      </c>
      <c r="I122" s="30">
        <f t="shared" si="16"/>
        <v>52320</v>
      </c>
    </row>
    <row r="123" ht="15.75" customHeight="1">
      <c r="A123" s="45" t="s">
        <v>227</v>
      </c>
      <c r="B123" s="8"/>
      <c r="C123" s="57"/>
      <c r="D123" s="57"/>
      <c r="E123" s="58"/>
      <c r="F123" s="48">
        <f t="shared" ref="F123:I123" si="17">SUM(F114:F122)</f>
        <v>4700</v>
      </c>
      <c r="G123" s="48">
        <f t="shared" si="17"/>
        <v>56400</v>
      </c>
      <c r="H123" s="97">
        <f t="shared" si="17"/>
        <v>53146.5</v>
      </c>
      <c r="I123" s="97">
        <f t="shared" si="17"/>
        <v>637758</v>
      </c>
    </row>
    <row r="124" ht="15.75" customHeight="1">
      <c r="A124" s="50" t="s">
        <v>228</v>
      </c>
      <c r="B124" s="8"/>
      <c r="C124" s="98"/>
      <c r="D124" s="99"/>
      <c r="E124" s="100"/>
      <c r="F124" s="53"/>
      <c r="G124" s="53"/>
      <c r="H124" s="54"/>
      <c r="I124" s="75"/>
    </row>
    <row r="125" ht="15.75" customHeight="1">
      <c r="A125" s="101">
        <v>3.02050019E8</v>
      </c>
      <c r="B125" s="102" t="s">
        <v>229</v>
      </c>
      <c r="C125" s="103" t="s">
        <v>17</v>
      </c>
      <c r="D125" s="103" t="s">
        <v>18</v>
      </c>
      <c r="E125" s="30">
        <v>6.35</v>
      </c>
      <c r="F125" s="104">
        <v>2000.0</v>
      </c>
      <c r="G125" s="105">
        <f t="shared" ref="G125:G128" si="18">F125*12</f>
        <v>24000</v>
      </c>
      <c r="H125" s="106">
        <f t="shared" ref="H125:H128" si="19">F125*E125</f>
        <v>12700</v>
      </c>
      <c r="I125" s="30">
        <f t="shared" ref="I125:I128" si="20">H125*12</f>
        <v>152400</v>
      </c>
    </row>
    <row r="126" ht="15.75" customHeight="1">
      <c r="A126" s="101">
        <v>3.02050027E8</v>
      </c>
      <c r="B126" s="102" t="s">
        <v>230</v>
      </c>
      <c r="C126" s="103" t="s">
        <v>17</v>
      </c>
      <c r="D126" s="103" t="s">
        <v>18</v>
      </c>
      <c r="E126" s="30">
        <v>6.35</v>
      </c>
      <c r="F126" s="104">
        <v>2892.0</v>
      </c>
      <c r="G126" s="105">
        <f t="shared" si="18"/>
        <v>34704</v>
      </c>
      <c r="H126" s="106">
        <f t="shared" si="19"/>
        <v>18364.2</v>
      </c>
      <c r="I126" s="30">
        <f t="shared" si="20"/>
        <v>220370.4</v>
      </c>
    </row>
    <row r="127" ht="15.75" customHeight="1">
      <c r="A127" s="101">
        <v>3.02050035E8</v>
      </c>
      <c r="B127" s="102" t="s">
        <v>231</v>
      </c>
      <c r="C127" s="103" t="s">
        <v>17</v>
      </c>
      <c r="D127" s="103" t="s">
        <v>18</v>
      </c>
      <c r="E127" s="30">
        <v>6.35</v>
      </c>
      <c r="F127" s="104">
        <v>1500.0</v>
      </c>
      <c r="G127" s="105">
        <f t="shared" si="18"/>
        <v>18000</v>
      </c>
      <c r="H127" s="106">
        <f t="shared" si="19"/>
        <v>9525</v>
      </c>
      <c r="I127" s="30">
        <f t="shared" si="20"/>
        <v>114300</v>
      </c>
    </row>
    <row r="128" ht="15.75" customHeight="1">
      <c r="A128" s="107">
        <v>3.02060049E8</v>
      </c>
      <c r="B128" s="44" t="s">
        <v>232</v>
      </c>
      <c r="C128" s="108" t="s">
        <v>17</v>
      </c>
      <c r="D128" s="108" t="s">
        <v>18</v>
      </c>
      <c r="E128" s="30">
        <v>6.35</v>
      </c>
      <c r="F128" s="104">
        <v>400.0</v>
      </c>
      <c r="G128" s="105">
        <f t="shared" si="18"/>
        <v>4800</v>
      </c>
      <c r="H128" s="106">
        <f t="shared" si="19"/>
        <v>2540</v>
      </c>
      <c r="I128" s="30">
        <f t="shared" si="20"/>
        <v>30480</v>
      </c>
    </row>
    <row r="129" ht="15.75" customHeight="1">
      <c r="A129" s="45" t="s">
        <v>159</v>
      </c>
      <c r="B129" s="8"/>
      <c r="C129" s="57"/>
      <c r="D129" s="57"/>
      <c r="E129" s="58"/>
      <c r="F129" s="48">
        <f t="shared" ref="F129:I129" si="21">SUM(F125:F128)</f>
        <v>6792</v>
      </c>
      <c r="G129" s="48">
        <f t="shared" si="21"/>
        <v>81504</v>
      </c>
      <c r="H129" s="97">
        <f t="shared" si="21"/>
        <v>43129.2</v>
      </c>
      <c r="I129" s="60">
        <f t="shared" si="21"/>
        <v>517550.4</v>
      </c>
    </row>
    <row r="130" ht="15.75" customHeight="1">
      <c r="A130" s="68" t="s">
        <v>233</v>
      </c>
      <c r="B130" s="8"/>
      <c r="C130" s="69"/>
      <c r="D130" s="69"/>
      <c r="E130" s="70"/>
      <c r="F130" s="71">
        <f t="shared" ref="F130:I130" si="22">F123+F129</f>
        <v>11492</v>
      </c>
      <c r="G130" s="71">
        <f t="shared" si="22"/>
        <v>137904</v>
      </c>
      <c r="H130" s="72">
        <f t="shared" si="22"/>
        <v>96275.7</v>
      </c>
      <c r="I130" s="109">
        <f t="shared" si="22"/>
        <v>1155308.4</v>
      </c>
    </row>
    <row r="131" ht="15.75" customHeight="1">
      <c r="A131" s="110"/>
      <c r="B131" s="110"/>
      <c r="C131" s="110"/>
      <c r="D131" s="110"/>
      <c r="E131" s="111"/>
      <c r="F131" s="112"/>
      <c r="G131" s="112"/>
      <c r="H131" s="113"/>
      <c r="I131" s="111"/>
    </row>
    <row r="132" ht="15.75" customHeight="1">
      <c r="A132" s="114" t="s">
        <v>234</v>
      </c>
      <c r="B132" s="7"/>
      <c r="C132" s="7"/>
      <c r="D132" s="7"/>
      <c r="E132" s="8"/>
      <c r="F132" s="115">
        <f t="shared" ref="F132:I132" si="23">F110+F130</f>
        <v>29983</v>
      </c>
      <c r="G132" s="115">
        <f t="shared" si="23"/>
        <v>359796</v>
      </c>
      <c r="H132" s="116">
        <f t="shared" si="23"/>
        <v>316480.8</v>
      </c>
      <c r="I132" s="116">
        <f t="shared" si="23"/>
        <v>3797769.6</v>
      </c>
    </row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3">
    <mergeCell ref="A6:I6"/>
    <mergeCell ref="A8:A9"/>
    <mergeCell ref="C8:C9"/>
    <mergeCell ref="D8:D9"/>
    <mergeCell ref="E8:E9"/>
    <mergeCell ref="F8:G8"/>
    <mergeCell ref="H8:I8"/>
    <mergeCell ref="A11:I11"/>
    <mergeCell ref="A110:B110"/>
    <mergeCell ref="A112:B112"/>
    <mergeCell ref="A113:B113"/>
    <mergeCell ref="A123:B123"/>
    <mergeCell ref="A124:B124"/>
    <mergeCell ref="A129:B129"/>
    <mergeCell ref="A130:B130"/>
    <mergeCell ref="A132:E132"/>
    <mergeCell ref="B8:B9"/>
    <mergeCell ref="A10:B10"/>
    <mergeCell ref="A82:B82"/>
    <mergeCell ref="A83:B83"/>
    <mergeCell ref="A92:B92"/>
    <mergeCell ref="A93:I93"/>
    <mergeCell ref="A109:B109"/>
  </mergeCells>
  <printOptions/>
  <pageMargins bottom="0.75" footer="0.0" header="0.0" left="0.25" right="0.25" top="0.75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3.71"/>
    <col customWidth="1" min="2" max="2" width="85.86"/>
    <col customWidth="1" min="3" max="3" width="20.43"/>
    <col customWidth="1" min="4" max="4" width="16.86"/>
    <col customWidth="1" min="5" max="5" width="9.71"/>
    <col customWidth="1" min="6" max="7" width="8.71"/>
    <col customWidth="1" min="8" max="8" width="16.71"/>
    <col customWidth="1" min="9" max="9" width="16.14"/>
    <col customWidth="1" min="10" max="10" width="8.71"/>
    <col customWidth="1" min="11" max="11" width="10.0"/>
    <col customWidth="1" min="12" max="12" width="13.71"/>
    <col customWidth="1" min="13" max="26" width="8.71"/>
  </cols>
  <sheetData>
    <row r="2">
      <c r="A2" s="1" t="s">
        <v>0</v>
      </c>
      <c r="B2" s="2"/>
      <c r="C2" s="2"/>
      <c r="D2" s="2"/>
      <c r="E2" s="3"/>
      <c r="F2" s="4"/>
      <c r="G2" s="4"/>
      <c r="H2" s="5"/>
      <c r="I2" s="3"/>
    </row>
    <row r="3">
      <c r="A3" s="1" t="s">
        <v>1</v>
      </c>
      <c r="B3" s="2"/>
      <c r="C3" s="2"/>
      <c r="D3" s="2"/>
      <c r="E3" s="3"/>
      <c r="F3" s="4"/>
      <c r="G3" s="4"/>
      <c r="H3" s="5"/>
      <c r="I3" s="3"/>
    </row>
    <row r="4">
      <c r="A4" s="1" t="s">
        <v>2</v>
      </c>
      <c r="B4" s="2"/>
      <c r="C4" s="2"/>
      <c r="D4" s="2"/>
      <c r="E4" s="3"/>
      <c r="F4" s="4"/>
      <c r="G4" s="4"/>
      <c r="H4" s="5"/>
      <c r="I4" s="3"/>
    </row>
    <row r="5">
      <c r="A5" s="1"/>
      <c r="B5" s="2"/>
      <c r="C5" s="2"/>
      <c r="D5" s="2"/>
      <c r="E5" s="3"/>
      <c r="F5" s="4"/>
      <c r="G5" s="4"/>
      <c r="H5" s="5"/>
      <c r="I5" s="3"/>
    </row>
    <row r="6">
      <c r="A6" s="117" t="s">
        <v>3</v>
      </c>
      <c r="B6" s="7"/>
      <c r="C6" s="7"/>
      <c r="D6" s="7"/>
      <c r="E6" s="7"/>
      <c r="F6" s="7"/>
      <c r="G6" s="7"/>
      <c r="H6" s="7"/>
      <c r="I6" s="8"/>
    </row>
    <row r="7">
      <c r="A7" s="9"/>
      <c r="B7" s="9"/>
      <c r="C7" s="9"/>
      <c r="D7" s="9"/>
      <c r="E7" s="3"/>
      <c r="F7" s="4"/>
      <c r="G7" s="4"/>
      <c r="H7" s="5"/>
      <c r="I7" s="3"/>
    </row>
    <row r="8">
      <c r="A8" s="118" t="s">
        <v>4</v>
      </c>
      <c r="B8" s="118" t="s">
        <v>5</v>
      </c>
      <c r="C8" s="119" t="s">
        <v>6</v>
      </c>
      <c r="D8" s="119" t="s">
        <v>7</v>
      </c>
      <c r="E8" s="119" t="s">
        <v>8</v>
      </c>
      <c r="F8" s="120" t="s">
        <v>9</v>
      </c>
      <c r="G8" s="8"/>
      <c r="H8" s="120" t="s">
        <v>10</v>
      </c>
      <c r="I8" s="8"/>
    </row>
    <row r="9">
      <c r="A9" s="13"/>
      <c r="B9" s="13"/>
      <c r="C9" s="13"/>
      <c r="D9" s="13"/>
      <c r="E9" s="13"/>
      <c r="F9" s="121" t="s">
        <v>11</v>
      </c>
      <c r="G9" s="121" t="s">
        <v>12</v>
      </c>
      <c r="H9" s="122" t="s">
        <v>11</v>
      </c>
      <c r="I9" s="122" t="s">
        <v>12</v>
      </c>
    </row>
    <row r="10">
      <c r="A10" s="123" t="s">
        <v>13</v>
      </c>
      <c r="B10" s="7"/>
      <c r="C10" s="7"/>
      <c r="D10" s="7"/>
      <c r="E10" s="7"/>
      <c r="F10" s="7"/>
      <c r="G10" s="7"/>
      <c r="H10" s="7"/>
      <c r="I10" s="8"/>
    </row>
    <row r="11">
      <c r="A11" s="124" t="s">
        <v>14</v>
      </c>
      <c r="B11" s="7"/>
      <c r="C11" s="7"/>
      <c r="D11" s="7"/>
      <c r="E11" s="7"/>
      <c r="F11" s="7"/>
      <c r="G11" s="7"/>
      <c r="H11" s="7"/>
      <c r="I11" s="8"/>
    </row>
    <row r="12">
      <c r="A12" s="24" t="s">
        <v>15</v>
      </c>
      <c r="B12" s="25" t="s">
        <v>16</v>
      </c>
      <c r="C12" s="26" t="s">
        <v>17</v>
      </c>
      <c r="D12" s="26" t="s">
        <v>18</v>
      </c>
      <c r="E12" s="27">
        <v>1.85</v>
      </c>
      <c r="F12" s="28">
        <v>200.0</v>
      </c>
      <c r="G12" s="28">
        <f t="shared" ref="G12:G97" si="1">F12*12</f>
        <v>2400</v>
      </c>
      <c r="H12" s="29">
        <f t="shared" ref="H12:H97" si="2">E12*F12</f>
        <v>370</v>
      </c>
      <c r="I12" s="30">
        <f t="shared" ref="I12:I97" si="3">H12*12</f>
        <v>4440</v>
      </c>
    </row>
    <row r="13">
      <c r="A13" s="24" t="s">
        <v>19</v>
      </c>
      <c r="B13" s="25" t="s">
        <v>20</v>
      </c>
      <c r="C13" s="26" t="s">
        <v>17</v>
      </c>
      <c r="D13" s="26" t="s">
        <v>18</v>
      </c>
      <c r="E13" s="27">
        <v>2.25</v>
      </c>
      <c r="F13" s="125">
        <v>100.0</v>
      </c>
      <c r="G13" s="28">
        <f t="shared" si="1"/>
        <v>1200</v>
      </c>
      <c r="H13" s="29">
        <f t="shared" si="2"/>
        <v>225</v>
      </c>
      <c r="I13" s="30">
        <f t="shared" si="3"/>
        <v>2700</v>
      </c>
      <c r="J13" s="126">
        <v>83.0</v>
      </c>
    </row>
    <row r="14">
      <c r="A14" s="31" t="s">
        <v>21</v>
      </c>
      <c r="B14" s="25" t="s">
        <v>22</v>
      </c>
      <c r="C14" s="26" t="s">
        <v>17</v>
      </c>
      <c r="D14" s="26" t="s">
        <v>18</v>
      </c>
      <c r="E14" s="27">
        <v>2.01</v>
      </c>
      <c r="F14" s="28">
        <v>70.0</v>
      </c>
      <c r="G14" s="28">
        <f t="shared" si="1"/>
        <v>840</v>
      </c>
      <c r="H14" s="29">
        <f t="shared" si="2"/>
        <v>140.7</v>
      </c>
      <c r="I14" s="30">
        <f t="shared" si="3"/>
        <v>1688.4</v>
      </c>
    </row>
    <row r="15">
      <c r="A15" s="24" t="s">
        <v>23</v>
      </c>
      <c r="B15" s="25" t="s">
        <v>24</v>
      </c>
      <c r="C15" s="26" t="s">
        <v>17</v>
      </c>
      <c r="D15" s="26" t="s">
        <v>18</v>
      </c>
      <c r="E15" s="27">
        <v>1.85</v>
      </c>
      <c r="F15" s="125">
        <v>120.0</v>
      </c>
      <c r="G15" s="28">
        <f t="shared" si="1"/>
        <v>1440</v>
      </c>
      <c r="H15" s="29">
        <f t="shared" si="2"/>
        <v>222</v>
      </c>
      <c r="I15" s="30">
        <f t="shared" si="3"/>
        <v>2664</v>
      </c>
      <c r="J15" s="126">
        <v>100.0</v>
      </c>
    </row>
    <row r="16">
      <c r="A16" s="24" t="s">
        <v>25</v>
      </c>
      <c r="B16" s="25" t="s">
        <v>26</v>
      </c>
      <c r="C16" s="26" t="s">
        <v>17</v>
      </c>
      <c r="D16" s="26" t="s">
        <v>18</v>
      </c>
      <c r="E16" s="27">
        <v>3.51</v>
      </c>
      <c r="F16" s="125">
        <v>10.0</v>
      </c>
      <c r="G16" s="28">
        <f t="shared" si="1"/>
        <v>120</v>
      </c>
      <c r="H16" s="29">
        <f t="shared" si="2"/>
        <v>35.1</v>
      </c>
      <c r="I16" s="30">
        <f t="shared" si="3"/>
        <v>421.2</v>
      </c>
      <c r="J16" s="126">
        <v>4.0</v>
      </c>
    </row>
    <row r="17">
      <c r="A17" s="127" t="s">
        <v>235</v>
      </c>
      <c r="B17" s="128" t="s">
        <v>236</v>
      </c>
      <c r="C17" s="129" t="s">
        <v>17</v>
      </c>
      <c r="D17" s="129" t="s">
        <v>18</v>
      </c>
      <c r="E17" s="130">
        <v>1.85</v>
      </c>
      <c r="F17" s="131">
        <v>12.0</v>
      </c>
      <c r="G17" s="131">
        <f t="shared" si="1"/>
        <v>144</v>
      </c>
      <c r="H17" s="132">
        <f t="shared" si="2"/>
        <v>22.2</v>
      </c>
      <c r="I17" s="133">
        <f t="shared" si="3"/>
        <v>266.4</v>
      </c>
    </row>
    <row r="18">
      <c r="A18" s="24" t="s">
        <v>27</v>
      </c>
      <c r="B18" s="25" t="s">
        <v>28</v>
      </c>
      <c r="C18" s="26" t="s">
        <v>17</v>
      </c>
      <c r="D18" s="26" t="s">
        <v>18</v>
      </c>
      <c r="E18" s="30">
        <v>3.51</v>
      </c>
      <c r="F18" s="125">
        <v>600.0</v>
      </c>
      <c r="G18" s="28">
        <f t="shared" si="1"/>
        <v>7200</v>
      </c>
      <c r="H18" s="29">
        <f t="shared" si="2"/>
        <v>2106</v>
      </c>
      <c r="I18" s="30">
        <f t="shared" si="3"/>
        <v>25272</v>
      </c>
      <c r="J18" s="126">
        <v>500.0</v>
      </c>
    </row>
    <row r="19">
      <c r="A19" s="24" t="s">
        <v>29</v>
      </c>
      <c r="B19" s="34" t="s">
        <v>30</v>
      </c>
      <c r="C19" s="26" t="s">
        <v>17</v>
      </c>
      <c r="D19" s="26" t="s">
        <v>18</v>
      </c>
      <c r="E19" s="30">
        <v>3.51</v>
      </c>
      <c r="F19" s="125">
        <v>600.0</v>
      </c>
      <c r="G19" s="28">
        <f t="shared" si="1"/>
        <v>7200</v>
      </c>
      <c r="H19" s="29">
        <f t="shared" si="2"/>
        <v>2106</v>
      </c>
      <c r="I19" s="30">
        <f t="shared" si="3"/>
        <v>25272</v>
      </c>
      <c r="J19" s="126">
        <v>500.0</v>
      </c>
    </row>
    <row r="20">
      <c r="A20" s="24" t="s">
        <v>31</v>
      </c>
      <c r="B20" s="25" t="s">
        <v>32</v>
      </c>
      <c r="C20" s="26" t="s">
        <v>17</v>
      </c>
      <c r="D20" s="26" t="s">
        <v>18</v>
      </c>
      <c r="E20" s="30">
        <v>1.85</v>
      </c>
      <c r="F20" s="125">
        <v>600.0</v>
      </c>
      <c r="G20" s="28">
        <f t="shared" si="1"/>
        <v>7200</v>
      </c>
      <c r="H20" s="29">
        <f t="shared" si="2"/>
        <v>1110</v>
      </c>
      <c r="I20" s="30">
        <f t="shared" si="3"/>
        <v>13320</v>
      </c>
      <c r="J20" s="126">
        <v>500.0</v>
      </c>
    </row>
    <row r="21">
      <c r="A21" s="24" t="s">
        <v>33</v>
      </c>
      <c r="B21" s="25" t="s">
        <v>34</v>
      </c>
      <c r="C21" s="26" t="s">
        <v>17</v>
      </c>
      <c r="D21" s="26" t="s">
        <v>18</v>
      </c>
      <c r="E21" s="30">
        <v>1.85</v>
      </c>
      <c r="F21" s="125">
        <v>600.0</v>
      </c>
      <c r="G21" s="28">
        <f t="shared" si="1"/>
        <v>7200</v>
      </c>
      <c r="H21" s="29">
        <f t="shared" si="2"/>
        <v>1110</v>
      </c>
      <c r="I21" s="30">
        <f t="shared" si="3"/>
        <v>13320</v>
      </c>
      <c r="J21" s="126">
        <v>500.0</v>
      </c>
    </row>
    <row r="22" ht="15.75" customHeight="1">
      <c r="A22" s="24" t="s">
        <v>35</v>
      </c>
      <c r="B22" s="25" t="s">
        <v>36</v>
      </c>
      <c r="C22" s="26" t="s">
        <v>17</v>
      </c>
      <c r="D22" s="26" t="s">
        <v>18</v>
      </c>
      <c r="E22" s="30">
        <v>3.68</v>
      </c>
      <c r="F22" s="125">
        <v>80.0</v>
      </c>
      <c r="G22" s="28">
        <f t="shared" si="1"/>
        <v>960</v>
      </c>
      <c r="H22" s="29">
        <f t="shared" si="2"/>
        <v>294.4</v>
      </c>
      <c r="I22" s="30">
        <f t="shared" si="3"/>
        <v>3532.8</v>
      </c>
      <c r="J22" s="126">
        <v>20.0</v>
      </c>
    </row>
    <row r="23" ht="15.75" customHeight="1">
      <c r="A23" s="127" t="s">
        <v>237</v>
      </c>
      <c r="B23" s="128" t="s">
        <v>238</v>
      </c>
      <c r="C23" s="129" t="s">
        <v>17</v>
      </c>
      <c r="D23" s="129" t="s">
        <v>18</v>
      </c>
      <c r="E23" s="130">
        <v>4.12</v>
      </c>
      <c r="F23" s="131">
        <v>80.0</v>
      </c>
      <c r="G23" s="131">
        <f t="shared" si="1"/>
        <v>960</v>
      </c>
      <c r="H23" s="132">
        <f t="shared" si="2"/>
        <v>329.6</v>
      </c>
      <c r="I23" s="133">
        <f t="shared" si="3"/>
        <v>3955.2</v>
      </c>
    </row>
    <row r="24" ht="15.75" customHeight="1">
      <c r="A24" s="129">
        <v>2.02010368E8</v>
      </c>
      <c r="B24" s="128" t="s">
        <v>239</v>
      </c>
      <c r="C24" s="129" t="s">
        <v>17</v>
      </c>
      <c r="D24" s="129" t="s">
        <v>18</v>
      </c>
      <c r="E24" s="130">
        <v>3.68</v>
      </c>
      <c r="F24" s="131">
        <v>12.0</v>
      </c>
      <c r="G24" s="131">
        <f t="shared" si="1"/>
        <v>144</v>
      </c>
      <c r="H24" s="132">
        <f t="shared" si="2"/>
        <v>44.16</v>
      </c>
      <c r="I24" s="133">
        <f t="shared" si="3"/>
        <v>529.92</v>
      </c>
    </row>
    <row r="25" ht="15.75" customHeight="1">
      <c r="A25" s="24" t="s">
        <v>37</v>
      </c>
      <c r="B25" s="25" t="s">
        <v>38</v>
      </c>
      <c r="C25" s="26" t="s">
        <v>17</v>
      </c>
      <c r="D25" s="26" t="s">
        <v>18</v>
      </c>
      <c r="E25" s="30">
        <v>15.59</v>
      </c>
      <c r="F25" s="125">
        <v>150.0</v>
      </c>
      <c r="G25" s="28">
        <f t="shared" si="1"/>
        <v>1800</v>
      </c>
      <c r="H25" s="29">
        <f t="shared" si="2"/>
        <v>2338.5</v>
      </c>
      <c r="I25" s="30">
        <f t="shared" si="3"/>
        <v>28062</v>
      </c>
      <c r="J25" s="126">
        <v>80.0</v>
      </c>
    </row>
    <row r="26" ht="15.75" customHeight="1">
      <c r="A26" s="24" t="s">
        <v>39</v>
      </c>
      <c r="B26" s="25" t="s">
        <v>40</v>
      </c>
      <c r="C26" s="26" t="s">
        <v>17</v>
      </c>
      <c r="D26" s="26" t="s">
        <v>18</v>
      </c>
      <c r="E26" s="30">
        <v>3.51</v>
      </c>
      <c r="F26" s="125">
        <v>150.0</v>
      </c>
      <c r="G26" s="28">
        <f t="shared" si="1"/>
        <v>1800</v>
      </c>
      <c r="H26" s="29">
        <f t="shared" si="2"/>
        <v>526.5</v>
      </c>
      <c r="I26" s="30">
        <f t="shared" si="3"/>
        <v>6318</v>
      </c>
      <c r="J26" s="126">
        <v>70.0</v>
      </c>
    </row>
    <row r="27" ht="15.75" customHeight="1">
      <c r="A27" s="129">
        <v>2.02010406E8</v>
      </c>
      <c r="B27" s="128" t="s">
        <v>240</v>
      </c>
      <c r="C27" s="129" t="s">
        <v>17</v>
      </c>
      <c r="D27" s="129" t="s">
        <v>18</v>
      </c>
      <c r="E27" s="130">
        <v>15.65</v>
      </c>
      <c r="F27" s="131">
        <v>40.0</v>
      </c>
      <c r="G27" s="131">
        <f t="shared" si="1"/>
        <v>480</v>
      </c>
      <c r="H27" s="132">
        <f t="shared" si="2"/>
        <v>626</v>
      </c>
      <c r="I27" s="133">
        <f t="shared" si="3"/>
        <v>7512</v>
      </c>
    </row>
    <row r="28" ht="15.75" customHeight="1">
      <c r="A28" s="134">
        <v>2.02010414E8</v>
      </c>
      <c r="B28" s="128" t="s">
        <v>241</v>
      </c>
      <c r="C28" s="129" t="s">
        <v>17</v>
      </c>
      <c r="D28" s="129" t="s">
        <v>18</v>
      </c>
      <c r="E28" s="130">
        <v>2.01</v>
      </c>
      <c r="F28" s="131">
        <v>20.0</v>
      </c>
      <c r="G28" s="131">
        <f t="shared" si="1"/>
        <v>240</v>
      </c>
      <c r="H28" s="132">
        <f t="shared" si="2"/>
        <v>40.2</v>
      </c>
      <c r="I28" s="133">
        <f t="shared" si="3"/>
        <v>482.4</v>
      </c>
    </row>
    <row r="29" ht="15.75" customHeight="1">
      <c r="A29" s="24" t="s">
        <v>41</v>
      </c>
      <c r="B29" s="25" t="s">
        <v>42</v>
      </c>
      <c r="C29" s="26" t="s">
        <v>17</v>
      </c>
      <c r="D29" s="26" t="s">
        <v>18</v>
      </c>
      <c r="E29" s="30">
        <v>2.01</v>
      </c>
      <c r="F29" s="125">
        <v>150.0</v>
      </c>
      <c r="G29" s="28">
        <f t="shared" si="1"/>
        <v>1800</v>
      </c>
      <c r="H29" s="29">
        <f t="shared" si="2"/>
        <v>301.5</v>
      </c>
      <c r="I29" s="30">
        <f t="shared" si="3"/>
        <v>3618</v>
      </c>
      <c r="J29" s="126">
        <v>80.0</v>
      </c>
    </row>
    <row r="30" ht="15.75" customHeight="1">
      <c r="A30" s="24" t="s">
        <v>43</v>
      </c>
      <c r="B30" s="25" t="s">
        <v>44</v>
      </c>
      <c r="C30" s="26" t="s">
        <v>17</v>
      </c>
      <c r="D30" s="26" t="s">
        <v>18</v>
      </c>
      <c r="E30" s="30">
        <v>1.85</v>
      </c>
      <c r="F30" s="125">
        <v>30.0</v>
      </c>
      <c r="G30" s="28">
        <f t="shared" si="1"/>
        <v>360</v>
      </c>
      <c r="H30" s="29">
        <f t="shared" si="2"/>
        <v>55.5</v>
      </c>
      <c r="I30" s="30">
        <f t="shared" si="3"/>
        <v>666</v>
      </c>
      <c r="J30" s="135">
        <v>40.0</v>
      </c>
    </row>
    <row r="31" ht="15.75" customHeight="1">
      <c r="A31" s="24" t="s">
        <v>45</v>
      </c>
      <c r="B31" s="25" t="s">
        <v>46</v>
      </c>
      <c r="C31" s="26" t="s">
        <v>17</v>
      </c>
      <c r="D31" s="26" t="s">
        <v>18</v>
      </c>
      <c r="E31" s="30">
        <v>2.01</v>
      </c>
      <c r="F31" s="125">
        <v>12.0</v>
      </c>
      <c r="G31" s="28">
        <f t="shared" si="1"/>
        <v>144</v>
      </c>
      <c r="H31" s="29">
        <f t="shared" si="2"/>
        <v>24.12</v>
      </c>
      <c r="I31" s="30">
        <f t="shared" si="3"/>
        <v>289.44</v>
      </c>
      <c r="J31" s="126">
        <v>10.0</v>
      </c>
    </row>
    <row r="32" ht="15.75" customHeight="1">
      <c r="A32" s="24" t="s">
        <v>47</v>
      </c>
      <c r="B32" s="25" t="s">
        <v>48</v>
      </c>
      <c r="C32" s="26" t="s">
        <v>17</v>
      </c>
      <c r="D32" s="26" t="s">
        <v>18</v>
      </c>
      <c r="E32" s="30">
        <v>3.51</v>
      </c>
      <c r="F32" s="125">
        <v>160.0</v>
      </c>
      <c r="G32" s="28">
        <f t="shared" si="1"/>
        <v>1920</v>
      </c>
      <c r="H32" s="29">
        <f t="shared" si="2"/>
        <v>561.6</v>
      </c>
      <c r="I32" s="30">
        <f t="shared" si="3"/>
        <v>6739.2</v>
      </c>
      <c r="J32" s="126">
        <v>150.0</v>
      </c>
    </row>
    <row r="33" ht="15.75" customHeight="1">
      <c r="A33" s="24" t="s">
        <v>49</v>
      </c>
      <c r="B33" s="25" t="s">
        <v>50</v>
      </c>
      <c r="C33" s="26" t="s">
        <v>17</v>
      </c>
      <c r="D33" s="26" t="s">
        <v>18</v>
      </c>
      <c r="E33" s="30">
        <v>1.85</v>
      </c>
      <c r="F33" s="125">
        <v>600.0</v>
      </c>
      <c r="G33" s="28">
        <f t="shared" si="1"/>
        <v>7200</v>
      </c>
      <c r="H33" s="29">
        <f t="shared" si="2"/>
        <v>1110</v>
      </c>
      <c r="I33" s="30">
        <f t="shared" si="3"/>
        <v>13320</v>
      </c>
      <c r="J33" s="126">
        <v>400.0</v>
      </c>
    </row>
    <row r="34" ht="15.75" customHeight="1">
      <c r="A34" s="24" t="s">
        <v>51</v>
      </c>
      <c r="B34" s="25" t="s">
        <v>52</v>
      </c>
      <c r="C34" s="26" t="s">
        <v>17</v>
      </c>
      <c r="D34" s="26" t="s">
        <v>18</v>
      </c>
      <c r="E34" s="30">
        <v>7.86</v>
      </c>
      <c r="F34" s="125">
        <v>300.0</v>
      </c>
      <c r="G34" s="28">
        <f t="shared" si="1"/>
        <v>3600</v>
      </c>
      <c r="H34" s="29">
        <f t="shared" si="2"/>
        <v>2358</v>
      </c>
      <c r="I34" s="30">
        <f t="shared" si="3"/>
        <v>28296</v>
      </c>
      <c r="J34" s="135">
        <v>400.0</v>
      </c>
    </row>
    <row r="35" ht="15.75" customHeight="1">
      <c r="A35" s="24" t="s">
        <v>53</v>
      </c>
      <c r="B35" s="25" t="s">
        <v>54</v>
      </c>
      <c r="C35" s="26" t="s">
        <v>17</v>
      </c>
      <c r="D35" s="26" t="s">
        <v>18</v>
      </c>
      <c r="E35" s="30">
        <v>2.25</v>
      </c>
      <c r="F35" s="125">
        <v>30.0</v>
      </c>
      <c r="G35" s="28">
        <f t="shared" si="1"/>
        <v>360</v>
      </c>
      <c r="H35" s="29">
        <f t="shared" si="2"/>
        <v>67.5</v>
      </c>
      <c r="I35" s="30">
        <f t="shared" si="3"/>
        <v>810</v>
      </c>
      <c r="J35" s="135">
        <v>80.0</v>
      </c>
    </row>
    <row r="36" ht="15.75" customHeight="1">
      <c r="A36" s="24" t="s">
        <v>55</v>
      </c>
      <c r="B36" s="25" t="s">
        <v>56</v>
      </c>
      <c r="C36" s="26" t="s">
        <v>17</v>
      </c>
      <c r="D36" s="26" t="s">
        <v>18</v>
      </c>
      <c r="E36" s="30">
        <v>2.01</v>
      </c>
      <c r="F36" s="125">
        <v>60.0</v>
      </c>
      <c r="G36" s="28">
        <f t="shared" si="1"/>
        <v>720</v>
      </c>
      <c r="H36" s="29">
        <f t="shared" si="2"/>
        <v>120.6</v>
      </c>
      <c r="I36" s="30">
        <f t="shared" si="3"/>
        <v>1447.2</v>
      </c>
      <c r="J36" s="135">
        <v>80.0</v>
      </c>
    </row>
    <row r="37" ht="15.75" customHeight="1">
      <c r="A37" s="24" t="s">
        <v>57</v>
      </c>
      <c r="B37" s="25" t="s">
        <v>58</v>
      </c>
      <c r="C37" s="26" t="s">
        <v>17</v>
      </c>
      <c r="D37" s="26" t="s">
        <v>18</v>
      </c>
      <c r="E37" s="30">
        <v>1.85</v>
      </c>
      <c r="F37" s="28">
        <v>150.0</v>
      </c>
      <c r="G37" s="28">
        <f t="shared" si="1"/>
        <v>1800</v>
      </c>
      <c r="H37" s="29">
        <f t="shared" si="2"/>
        <v>277.5</v>
      </c>
      <c r="I37" s="30">
        <f t="shared" si="3"/>
        <v>3330</v>
      </c>
    </row>
    <row r="38" ht="15.75" customHeight="1">
      <c r="A38" s="24" t="s">
        <v>59</v>
      </c>
      <c r="B38" s="25" t="s">
        <v>60</v>
      </c>
      <c r="C38" s="26" t="s">
        <v>17</v>
      </c>
      <c r="D38" s="26" t="s">
        <v>18</v>
      </c>
      <c r="E38" s="30">
        <v>1.4</v>
      </c>
      <c r="F38" s="125">
        <v>12.0</v>
      </c>
      <c r="G38" s="28">
        <f t="shared" si="1"/>
        <v>144</v>
      </c>
      <c r="H38" s="29">
        <f t="shared" si="2"/>
        <v>16.8</v>
      </c>
      <c r="I38" s="30">
        <f t="shared" si="3"/>
        <v>201.6</v>
      </c>
      <c r="J38" s="135">
        <v>15.0</v>
      </c>
    </row>
    <row r="39" ht="15.75" customHeight="1">
      <c r="A39" s="24" t="s">
        <v>61</v>
      </c>
      <c r="B39" s="25" t="s">
        <v>62</v>
      </c>
      <c r="C39" s="26" t="s">
        <v>17</v>
      </c>
      <c r="D39" s="26" t="s">
        <v>18</v>
      </c>
      <c r="E39" s="30">
        <v>1.85</v>
      </c>
      <c r="F39" s="125">
        <v>12.0</v>
      </c>
      <c r="G39" s="28">
        <f t="shared" si="1"/>
        <v>144</v>
      </c>
      <c r="H39" s="29">
        <f t="shared" si="2"/>
        <v>22.2</v>
      </c>
      <c r="I39" s="30">
        <f t="shared" si="3"/>
        <v>266.4</v>
      </c>
      <c r="J39" s="135">
        <v>20.0</v>
      </c>
    </row>
    <row r="40" ht="15.75" customHeight="1">
      <c r="A40" s="24" t="s">
        <v>63</v>
      </c>
      <c r="B40" s="25" t="s">
        <v>64</v>
      </c>
      <c r="C40" s="26" t="s">
        <v>17</v>
      </c>
      <c r="D40" s="26" t="s">
        <v>18</v>
      </c>
      <c r="E40" s="30">
        <v>1.85</v>
      </c>
      <c r="F40" s="125">
        <v>200.0</v>
      </c>
      <c r="G40" s="28">
        <f t="shared" si="1"/>
        <v>2400</v>
      </c>
      <c r="H40" s="29">
        <f t="shared" si="2"/>
        <v>370</v>
      </c>
      <c r="I40" s="30">
        <f t="shared" si="3"/>
        <v>4440</v>
      </c>
      <c r="J40" s="126">
        <v>150.0</v>
      </c>
    </row>
    <row r="41" ht="15.75" customHeight="1">
      <c r="A41" s="24" t="s">
        <v>65</v>
      </c>
      <c r="B41" s="25" t="s">
        <v>66</v>
      </c>
      <c r="C41" s="26" t="s">
        <v>17</v>
      </c>
      <c r="D41" s="26" t="s">
        <v>18</v>
      </c>
      <c r="E41" s="30">
        <v>2.01</v>
      </c>
      <c r="F41" s="125">
        <v>600.0</v>
      </c>
      <c r="G41" s="28">
        <f t="shared" si="1"/>
        <v>7200</v>
      </c>
      <c r="H41" s="29">
        <f t="shared" si="2"/>
        <v>1206</v>
      </c>
      <c r="I41" s="30">
        <f t="shared" si="3"/>
        <v>14472</v>
      </c>
      <c r="J41" s="126">
        <v>500.0</v>
      </c>
    </row>
    <row r="42" ht="15.75" customHeight="1">
      <c r="A42" s="24" t="s">
        <v>67</v>
      </c>
      <c r="B42" s="25" t="s">
        <v>68</v>
      </c>
      <c r="C42" s="26" t="s">
        <v>17</v>
      </c>
      <c r="D42" s="26" t="s">
        <v>18</v>
      </c>
      <c r="E42" s="30">
        <v>2.01</v>
      </c>
      <c r="F42" s="125">
        <v>600.0</v>
      </c>
      <c r="G42" s="28">
        <f t="shared" si="1"/>
        <v>7200</v>
      </c>
      <c r="H42" s="29">
        <f t="shared" si="2"/>
        <v>1206</v>
      </c>
      <c r="I42" s="30">
        <f t="shared" si="3"/>
        <v>14472</v>
      </c>
      <c r="J42" s="126">
        <v>500.0</v>
      </c>
    </row>
    <row r="43" ht="15.75" customHeight="1">
      <c r="A43" s="129">
        <v>2.0201066E8</v>
      </c>
      <c r="B43" s="128" t="s">
        <v>242</v>
      </c>
      <c r="C43" s="129" t="s">
        <v>17</v>
      </c>
      <c r="D43" s="129" t="s">
        <v>18</v>
      </c>
      <c r="E43" s="130">
        <v>4.12</v>
      </c>
      <c r="F43" s="131">
        <v>20.0</v>
      </c>
      <c r="G43" s="131">
        <f t="shared" si="1"/>
        <v>240</v>
      </c>
      <c r="H43" s="132">
        <f t="shared" si="2"/>
        <v>82.4</v>
      </c>
      <c r="I43" s="133">
        <f t="shared" si="3"/>
        <v>988.8</v>
      </c>
    </row>
    <row r="44" ht="15.75" customHeight="1">
      <c r="A44" s="24" t="s">
        <v>69</v>
      </c>
      <c r="B44" s="25" t="s">
        <v>70</v>
      </c>
      <c r="C44" s="26" t="s">
        <v>17</v>
      </c>
      <c r="D44" s="26" t="s">
        <v>18</v>
      </c>
      <c r="E44" s="30">
        <v>3.51</v>
      </c>
      <c r="F44" s="28">
        <v>500.0</v>
      </c>
      <c r="G44" s="28">
        <f t="shared" si="1"/>
        <v>6000</v>
      </c>
      <c r="H44" s="29">
        <f t="shared" si="2"/>
        <v>1755</v>
      </c>
      <c r="I44" s="30">
        <f t="shared" si="3"/>
        <v>21060</v>
      </c>
    </row>
    <row r="45" ht="15.75" customHeight="1">
      <c r="A45" s="24" t="s">
        <v>71</v>
      </c>
      <c r="B45" s="25" t="s">
        <v>72</v>
      </c>
      <c r="C45" s="26" t="s">
        <v>17</v>
      </c>
      <c r="D45" s="26" t="s">
        <v>18</v>
      </c>
      <c r="E45" s="30">
        <v>1.85</v>
      </c>
      <c r="F45" s="125">
        <v>300.0</v>
      </c>
      <c r="G45" s="28">
        <f t="shared" si="1"/>
        <v>3600</v>
      </c>
      <c r="H45" s="29">
        <f t="shared" si="2"/>
        <v>555</v>
      </c>
      <c r="I45" s="30">
        <f t="shared" si="3"/>
        <v>6660</v>
      </c>
      <c r="J45" s="135">
        <v>400.0</v>
      </c>
    </row>
    <row r="46" ht="15.75" customHeight="1">
      <c r="A46" s="24" t="s">
        <v>73</v>
      </c>
      <c r="B46" s="25" t="s">
        <v>74</v>
      </c>
      <c r="C46" s="26" t="s">
        <v>17</v>
      </c>
      <c r="D46" s="26" t="s">
        <v>18</v>
      </c>
      <c r="E46" s="30">
        <v>15.24</v>
      </c>
      <c r="F46" s="125">
        <v>200.0</v>
      </c>
      <c r="G46" s="28">
        <f t="shared" si="1"/>
        <v>2400</v>
      </c>
      <c r="H46" s="29">
        <f t="shared" si="2"/>
        <v>3048</v>
      </c>
      <c r="I46" s="30">
        <f t="shared" si="3"/>
        <v>36576</v>
      </c>
      <c r="J46" s="126">
        <v>100.0</v>
      </c>
    </row>
    <row r="47" ht="15.75" customHeight="1">
      <c r="A47" s="129">
        <v>2.02010724E8</v>
      </c>
      <c r="B47" s="128" t="s">
        <v>243</v>
      </c>
      <c r="C47" s="129" t="s">
        <v>17</v>
      </c>
      <c r="D47" s="129" t="s">
        <v>18</v>
      </c>
      <c r="E47" s="130">
        <v>4.42</v>
      </c>
      <c r="F47" s="131">
        <v>30.0</v>
      </c>
      <c r="G47" s="131">
        <f t="shared" si="1"/>
        <v>360</v>
      </c>
      <c r="H47" s="132">
        <f t="shared" si="2"/>
        <v>132.6</v>
      </c>
      <c r="I47" s="133">
        <f t="shared" si="3"/>
        <v>1591.2</v>
      </c>
    </row>
    <row r="48" ht="15.75" customHeight="1">
      <c r="A48" s="24" t="s">
        <v>75</v>
      </c>
      <c r="B48" s="25" t="s">
        <v>76</v>
      </c>
      <c r="C48" s="26" t="s">
        <v>17</v>
      </c>
      <c r="D48" s="26" t="s">
        <v>18</v>
      </c>
      <c r="E48" s="30">
        <v>15.24</v>
      </c>
      <c r="F48" s="125">
        <v>250.0</v>
      </c>
      <c r="G48" s="28">
        <f t="shared" si="1"/>
        <v>3000</v>
      </c>
      <c r="H48" s="29">
        <f t="shared" si="2"/>
        <v>3810</v>
      </c>
      <c r="I48" s="30">
        <f t="shared" si="3"/>
        <v>45720</v>
      </c>
      <c r="J48" s="135">
        <v>400.0</v>
      </c>
    </row>
    <row r="49" ht="15.75" customHeight="1">
      <c r="A49" s="24" t="s">
        <v>77</v>
      </c>
      <c r="B49" s="25" t="s">
        <v>78</v>
      </c>
      <c r="C49" s="26" t="s">
        <v>17</v>
      </c>
      <c r="D49" s="26" t="s">
        <v>18</v>
      </c>
      <c r="E49" s="30">
        <v>2.73</v>
      </c>
      <c r="F49" s="125">
        <v>40.0</v>
      </c>
      <c r="G49" s="28">
        <f t="shared" si="1"/>
        <v>480</v>
      </c>
      <c r="H49" s="29">
        <f t="shared" si="2"/>
        <v>109.2</v>
      </c>
      <c r="I49" s="30">
        <f t="shared" si="3"/>
        <v>1310.4</v>
      </c>
      <c r="J49" s="135">
        <v>84.0</v>
      </c>
    </row>
    <row r="50" ht="15.75" customHeight="1">
      <c r="A50" s="129">
        <v>2.02020096E8</v>
      </c>
      <c r="B50" s="128" t="s">
        <v>244</v>
      </c>
      <c r="C50" s="129" t="s">
        <v>17</v>
      </c>
      <c r="D50" s="129" t="s">
        <v>18</v>
      </c>
      <c r="E50" s="130">
        <v>2.73</v>
      </c>
      <c r="F50" s="131">
        <v>40.0</v>
      </c>
      <c r="G50" s="131">
        <f t="shared" si="1"/>
        <v>480</v>
      </c>
      <c r="H50" s="132">
        <f t="shared" si="2"/>
        <v>109.2</v>
      </c>
      <c r="I50" s="133">
        <f t="shared" si="3"/>
        <v>1310.4</v>
      </c>
    </row>
    <row r="51" ht="15.75" customHeight="1">
      <c r="A51" s="129">
        <v>2.02020126E8</v>
      </c>
      <c r="B51" s="128" t="s">
        <v>245</v>
      </c>
      <c r="C51" s="129" t="s">
        <v>17</v>
      </c>
      <c r="D51" s="129" t="s">
        <v>18</v>
      </c>
      <c r="E51" s="130">
        <v>2.85</v>
      </c>
      <c r="F51" s="131">
        <v>40.0</v>
      </c>
      <c r="G51" s="131">
        <f t="shared" si="1"/>
        <v>480</v>
      </c>
      <c r="H51" s="132">
        <f t="shared" si="2"/>
        <v>114</v>
      </c>
      <c r="I51" s="133">
        <f t="shared" si="3"/>
        <v>1368</v>
      </c>
    </row>
    <row r="52" ht="15.75" customHeight="1">
      <c r="A52" s="129">
        <v>2.02020134E8</v>
      </c>
      <c r="B52" s="128" t="s">
        <v>246</v>
      </c>
      <c r="C52" s="129" t="s">
        <v>17</v>
      </c>
      <c r="D52" s="129" t="s">
        <v>18</v>
      </c>
      <c r="E52" s="130">
        <v>5.77</v>
      </c>
      <c r="F52" s="131">
        <v>40.0</v>
      </c>
      <c r="G52" s="131">
        <f t="shared" si="1"/>
        <v>480</v>
      </c>
      <c r="H52" s="132">
        <f t="shared" si="2"/>
        <v>230.8</v>
      </c>
      <c r="I52" s="133">
        <f t="shared" si="3"/>
        <v>2769.6</v>
      </c>
    </row>
    <row r="53" ht="15.75" customHeight="1">
      <c r="A53" s="129">
        <v>2.02020134E8</v>
      </c>
      <c r="B53" s="128" t="s">
        <v>247</v>
      </c>
      <c r="C53" s="129" t="s">
        <v>17</v>
      </c>
      <c r="D53" s="129" t="s">
        <v>18</v>
      </c>
      <c r="E53" s="130">
        <v>2.73</v>
      </c>
      <c r="F53" s="131">
        <v>40.0</v>
      </c>
      <c r="G53" s="131">
        <f t="shared" si="1"/>
        <v>480</v>
      </c>
      <c r="H53" s="132">
        <f t="shared" si="2"/>
        <v>109.2</v>
      </c>
      <c r="I53" s="133">
        <f t="shared" si="3"/>
        <v>1310.4</v>
      </c>
    </row>
    <row r="54" ht="15.75" customHeight="1">
      <c r="A54" s="24" t="s">
        <v>79</v>
      </c>
      <c r="B54" s="25" t="s">
        <v>80</v>
      </c>
      <c r="C54" s="26" t="s">
        <v>17</v>
      </c>
      <c r="D54" s="26" t="s">
        <v>18</v>
      </c>
      <c r="E54" s="30">
        <v>2.73</v>
      </c>
      <c r="F54" s="125">
        <v>40.0</v>
      </c>
      <c r="G54" s="28">
        <f t="shared" si="1"/>
        <v>480</v>
      </c>
      <c r="H54" s="29">
        <f t="shared" si="2"/>
        <v>109.2</v>
      </c>
      <c r="I54" s="30">
        <f t="shared" si="3"/>
        <v>1310.4</v>
      </c>
      <c r="J54" s="135">
        <v>58.0</v>
      </c>
    </row>
    <row r="55" ht="15.75" customHeight="1">
      <c r="A55" s="35" t="s">
        <v>81</v>
      </c>
      <c r="B55" s="36" t="s">
        <v>82</v>
      </c>
      <c r="C55" s="26" t="s">
        <v>17</v>
      </c>
      <c r="D55" s="26" t="s">
        <v>18</v>
      </c>
      <c r="E55" s="30">
        <v>5.41</v>
      </c>
      <c r="F55" s="125">
        <v>10.0</v>
      </c>
      <c r="G55" s="28">
        <f t="shared" si="1"/>
        <v>120</v>
      </c>
      <c r="H55" s="29">
        <f t="shared" si="2"/>
        <v>54.1</v>
      </c>
      <c r="I55" s="30">
        <f t="shared" si="3"/>
        <v>649.2</v>
      </c>
      <c r="J55" s="135">
        <v>20.0</v>
      </c>
    </row>
    <row r="56" ht="15.75" customHeight="1">
      <c r="A56" s="35" t="s">
        <v>83</v>
      </c>
      <c r="B56" s="36" t="s">
        <v>84</v>
      </c>
      <c r="C56" s="26" t="s">
        <v>17</v>
      </c>
      <c r="D56" s="26" t="s">
        <v>18</v>
      </c>
      <c r="E56" s="30">
        <v>4.11</v>
      </c>
      <c r="F56" s="28">
        <v>600.0</v>
      </c>
      <c r="G56" s="28">
        <f t="shared" si="1"/>
        <v>7200</v>
      </c>
      <c r="H56" s="29">
        <f t="shared" si="2"/>
        <v>2466</v>
      </c>
      <c r="I56" s="30">
        <f t="shared" si="3"/>
        <v>29592</v>
      </c>
    </row>
    <row r="57" ht="15.75" customHeight="1">
      <c r="A57" s="35" t="s">
        <v>85</v>
      </c>
      <c r="B57" s="36" t="s">
        <v>86</v>
      </c>
      <c r="C57" s="26" t="s">
        <v>17</v>
      </c>
      <c r="D57" s="26" t="s">
        <v>18</v>
      </c>
      <c r="E57" s="30">
        <v>2.73</v>
      </c>
      <c r="F57" s="125">
        <v>0.0</v>
      </c>
      <c r="G57" s="28">
        <f t="shared" si="1"/>
        <v>0</v>
      </c>
      <c r="H57" s="29">
        <f t="shared" si="2"/>
        <v>0</v>
      </c>
      <c r="I57" s="30">
        <f t="shared" si="3"/>
        <v>0</v>
      </c>
      <c r="J57" s="136">
        <v>2.0</v>
      </c>
    </row>
    <row r="58" ht="15.75" customHeight="1">
      <c r="A58" s="35" t="s">
        <v>87</v>
      </c>
      <c r="B58" s="36" t="s">
        <v>88</v>
      </c>
      <c r="C58" s="26" t="s">
        <v>17</v>
      </c>
      <c r="D58" s="26" t="s">
        <v>18</v>
      </c>
      <c r="E58" s="30">
        <v>2.83</v>
      </c>
      <c r="F58" s="125">
        <v>50.0</v>
      </c>
      <c r="G58" s="28">
        <f t="shared" si="1"/>
        <v>600</v>
      </c>
      <c r="H58" s="29">
        <f t="shared" si="2"/>
        <v>141.5</v>
      </c>
      <c r="I58" s="30">
        <f t="shared" si="3"/>
        <v>1698</v>
      </c>
      <c r="J58" s="126">
        <v>35.0</v>
      </c>
    </row>
    <row r="59" ht="15.75" customHeight="1">
      <c r="A59" s="35" t="s">
        <v>89</v>
      </c>
      <c r="B59" s="36" t="s">
        <v>90</v>
      </c>
      <c r="C59" s="26" t="s">
        <v>17</v>
      </c>
      <c r="D59" s="26" t="s">
        <v>18</v>
      </c>
      <c r="E59" s="30">
        <v>9.25</v>
      </c>
      <c r="F59" s="125">
        <v>50.0</v>
      </c>
      <c r="G59" s="28">
        <f t="shared" si="1"/>
        <v>600</v>
      </c>
      <c r="H59" s="29">
        <f t="shared" si="2"/>
        <v>462.5</v>
      </c>
      <c r="I59" s="30">
        <f t="shared" si="3"/>
        <v>5550</v>
      </c>
      <c r="J59" s="135">
        <v>120.0</v>
      </c>
    </row>
    <row r="60">
      <c r="A60" s="137">
        <v>2.02030091E8</v>
      </c>
      <c r="B60" s="138" t="s">
        <v>248</v>
      </c>
      <c r="C60" s="139" t="s">
        <v>17</v>
      </c>
      <c r="D60" s="139" t="s">
        <v>18</v>
      </c>
      <c r="E60" s="140">
        <v>15.06</v>
      </c>
      <c r="F60" s="131">
        <v>12.0</v>
      </c>
      <c r="G60" s="131">
        <f t="shared" si="1"/>
        <v>144</v>
      </c>
      <c r="H60" s="132">
        <f t="shared" si="2"/>
        <v>180.72</v>
      </c>
      <c r="I60" s="133">
        <f t="shared" si="3"/>
        <v>2168.64</v>
      </c>
    </row>
    <row r="61">
      <c r="A61" s="137">
        <v>2.02030105E8</v>
      </c>
      <c r="B61" s="138" t="s">
        <v>249</v>
      </c>
      <c r="C61" s="139" t="s">
        <v>17</v>
      </c>
      <c r="D61" s="139" t="s">
        <v>18</v>
      </c>
      <c r="E61" s="140">
        <v>16.42</v>
      </c>
      <c r="F61" s="131">
        <v>80.0</v>
      </c>
      <c r="G61" s="131">
        <f t="shared" si="1"/>
        <v>960</v>
      </c>
      <c r="H61" s="132">
        <f t="shared" si="2"/>
        <v>1313.6</v>
      </c>
      <c r="I61" s="133">
        <f t="shared" si="3"/>
        <v>15763.2</v>
      </c>
    </row>
    <row r="62">
      <c r="A62" s="137">
        <v>2.02030202E8</v>
      </c>
      <c r="B62" s="138" t="s">
        <v>250</v>
      </c>
      <c r="C62" s="139" t="s">
        <v>17</v>
      </c>
      <c r="D62" s="139" t="s">
        <v>18</v>
      </c>
      <c r="E62" s="140">
        <v>2.83</v>
      </c>
      <c r="F62" s="131">
        <v>10.0</v>
      </c>
      <c r="G62" s="131">
        <f t="shared" si="1"/>
        <v>120</v>
      </c>
      <c r="H62" s="132">
        <f t="shared" si="2"/>
        <v>28.3</v>
      </c>
      <c r="I62" s="133">
        <f t="shared" si="3"/>
        <v>339.6</v>
      </c>
    </row>
    <row r="63" ht="27.0" customHeight="1">
      <c r="A63" s="137">
        <v>2.0203147E8</v>
      </c>
      <c r="B63" s="138" t="s">
        <v>251</v>
      </c>
      <c r="C63" s="139" t="s">
        <v>17</v>
      </c>
      <c r="D63" s="139" t="s">
        <v>18</v>
      </c>
      <c r="E63" s="140">
        <v>18.55</v>
      </c>
      <c r="F63" s="131">
        <v>100.0</v>
      </c>
      <c r="G63" s="131">
        <f t="shared" si="1"/>
        <v>1200</v>
      </c>
      <c r="H63" s="132">
        <f t="shared" si="2"/>
        <v>1855</v>
      </c>
      <c r="I63" s="133">
        <f t="shared" si="3"/>
        <v>22260</v>
      </c>
      <c r="J63" s="135">
        <v>200.0</v>
      </c>
      <c r="K63" s="141"/>
    </row>
    <row r="64" ht="27.0" customHeight="1">
      <c r="A64" s="142">
        <v>2.020315E8</v>
      </c>
      <c r="B64" s="143" t="s">
        <v>252</v>
      </c>
      <c r="C64" s="144" t="s">
        <v>17</v>
      </c>
      <c r="D64" s="144" t="s">
        <v>18</v>
      </c>
      <c r="E64" s="145">
        <v>10.0</v>
      </c>
      <c r="F64" s="146">
        <v>30.0</v>
      </c>
      <c r="G64" s="146">
        <f t="shared" si="1"/>
        <v>360</v>
      </c>
      <c r="H64" s="145">
        <f t="shared" si="2"/>
        <v>300</v>
      </c>
      <c r="I64" s="147">
        <f t="shared" si="3"/>
        <v>3600</v>
      </c>
      <c r="J64" s="141">
        <v>300.0</v>
      </c>
      <c r="K64" s="141" t="s">
        <v>253</v>
      </c>
    </row>
    <row r="65" ht="15.75" customHeight="1">
      <c r="A65" s="35" t="s">
        <v>93</v>
      </c>
      <c r="B65" s="36" t="s">
        <v>94</v>
      </c>
      <c r="C65" s="26" t="s">
        <v>17</v>
      </c>
      <c r="D65" s="26" t="s">
        <v>18</v>
      </c>
      <c r="E65" s="30">
        <v>2.83</v>
      </c>
      <c r="F65" s="125">
        <v>0.0</v>
      </c>
      <c r="G65" s="28">
        <f t="shared" si="1"/>
        <v>0</v>
      </c>
      <c r="H65" s="29">
        <f t="shared" si="2"/>
        <v>0</v>
      </c>
      <c r="I65" s="30">
        <f t="shared" si="3"/>
        <v>0</v>
      </c>
      <c r="J65" s="136">
        <v>20.0</v>
      </c>
    </row>
    <row r="66" ht="15.75" customHeight="1">
      <c r="A66" s="35" t="s">
        <v>97</v>
      </c>
      <c r="B66" s="36" t="s">
        <v>98</v>
      </c>
      <c r="C66" s="26" t="s">
        <v>17</v>
      </c>
      <c r="D66" s="26" t="s">
        <v>18</v>
      </c>
      <c r="E66" s="30">
        <v>16.97</v>
      </c>
      <c r="F66" s="125">
        <v>10.0</v>
      </c>
      <c r="G66" s="28">
        <f t="shared" si="1"/>
        <v>120</v>
      </c>
      <c r="H66" s="29">
        <f t="shared" si="2"/>
        <v>169.7</v>
      </c>
      <c r="I66" s="30">
        <f t="shared" si="3"/>
        <v>2036.4</v>
      </c>
      <c r="J66" s="135">
        <v>70.0</v>
      </c>
    </row>
    <row r="67" ht="15.75" customHeight="1">
      <c r="A67" s="35" t="s">
        <v>99</v>
      </c>
      <c r="B67" s="36" t="s">
        <v>100</v>
      </c>
      <c r="C67" s="26" t="s">
        <v>17</v>
      </c>
      <c r="D67" s="26" t="s">
        <v>18</v>
      </c>
      <c r="E67" s="30">
        <v>18.55</v>
      </c>
      <c r="F67" s="125">
        <v>10.0</v>
      </c>
      <c r="G67" s="28">
        <f t="shared" si="1"/>
        <v>120</v>
      </c>
      <c r="H67" s="29">
        <f t="shared" si="2"/>
        <v>185.5</v>
      </c>
      <c r="I67" s="30">
        <f t="shared" si="3"/>
        <v>2226</v>
      </c>
      <c r="J67" s="135">
        <v>70.0</v>
      </c>
    </row>
    <row r="68" ht="15.75" customHeight="1">
      <c r="A68" s="35" t="s">
        <v>101</v>
      </c>
      <c r="B68" s="36" t="s">
        <v>102</v>
      </c>
      <c r="C68" s="26" t="s">
        <v>17</v>
      </c>
      <c r="D68" s="26" t="s">
        <v>18</v>
      </c>
      <c r="E68" s="30">
        <v>17.16</v>
      </c>
      <c r="F68" s="125">
        <v>0.0</v>
      </c>
      <c r="G68" s="28">
        <f t="shared" si="1"/>
        <v>0</v>
      </c>
      <c r="H68" s="29">
        <f t="shared" si="2"/>
        <v>0</v>
      </c>
      <c r="I68" s="30">
        <f t="shared" si="3"/>
        <v>0</v>
      </c>
      <c r="J68" s="136">
        <v>10.0</v>
      </c>
    </row>
    <row r="69" ht="29.25" customHeight="1">
      <c r="A69" s="142">
        <v>2.02031446E8</v>
      </c>
      <c r="B69" s="143" t="s">
        <v>254</v>
      </c>
      <c r="C69" s="144" t="s">
        <v>17</v>
      </c>
      <c r="D69" s="144" t="s">
        <v>18</v>
      </c>
      <c r="E69" s="145">
        <v>18.55</v>
      </c>
      <c r="F69" s="146">
        <v>200.0</v>
      </c>
      <c r="G69" s="146">
        <f t="shared" si="1"/>
        <v>2400</v>
      </c>
      <c r="H69" s="145">
        <f t="shared" si="2"/>
        <v>3710</v>
      </c>
      <c r="I69" s="147">
        <f t="shared" si="3"/>
        <v>44520</v>
      </c>
    </row>
    <row r="70" ht="15.75" customHeight="1">
      <c r="A70" s="35" t="s">
        <v>105</v>
      </c>
      <c r="B70" s="148" t="s">
        <v>255</v>
      </c>
      <c r="C70" s="26" t="s">
        <v>17</v>
      </c>
      <c r="D70" s="26" t="s">
        <v>18</v>
      </c>
      <c r="E70" s="30">
        <v>2.83</v>
      </c>
      <c r="F70" s="28">
        <v>200.0</v>
      </c>
      <c r="G70" s="28">
        <f t="shared" si="1"/>
        <v>2400</v>
      </c>
      <c r="H70" s="29">
        <f t="shared" si="2"/>
        <v>566</v>
      </c>
      <c r="I70" s="30">
        <f t="shared" si="3"/>
        <v>6792</v>
      </c>
    </row>
    <row r="71" ht="15.75" customHeight="1">
      <c r="A71" s="35" t="s">
        <v>107</v>
      </c>
      <c r="B71" s="36" t="s">
        <v>108</v>
      </c>
      <c r="C71" s="26" t="s">
        <v>17</v>
      </c>
      <c r="D71" s="26" t="s">
        <v>18</v>
      </c>
      <c r="E71" s="30">
        <v>2.83</v>
      </c>
      <c r="F71" s="125">
        <v>0.0</v>
      </c>
      <c r="G71" s="28">
        <f t="shared" si="1"/>
        <v>0</v>
      </c>
      <c r="H71" s="29">
        <f t="shared" si="2"/>
        <v>0</v>
      </c>
      <c r="I71" s="30">
        <f t="shared" si="3"/>
        <v>0</v>
      </c>
      <c r="J71" s="136">
        <v>200.0</v>
      </c>
    </row>
    <row r="72" ht="15.75" customHeight="1">
      <c r="A72" s="35" t="s">
        <v>109</v>
      </c>
      <c r="B72" s="36" t="s">
        <v>110</v>
      </c>
      <c r="C72" s="26" t="s">
        <v>17</v>
      </c>
      <c r="D72" s="26" t="s">
        <v>18</v>
      </c>
      <c r="E72" s="30">
        <v>1.65</v>
      </c>
      <c r="F72" s="125">
        <v>400.0</v>
      </c>
      <c r="G72" s="28">
        <f t="shared" si="1"/>
        <v>4800</v>
      </c>
      <c r="H72" s="29">
        <f t="shared" si="2"/>
        <v>660</v>
      </c>
      <c r="I72" s="30">
        <f t="shared" si="3"/>
        <v>7920</v>
      </c>
      <c r="J72" s="126">
        <v>273.0</v>
      </c>
    </row>
    <row r="73" ht="15.75" customHeight="1">
      <c r="A73" s="35" t="s">
        <v>111</v>
      </c>
      <c r="B73" s="40" t="s">
        <v>112</v>
      </c>
      <c r="C73" s="26" t="s">
        <v>17</v>
      </c>
      <c r="D73" s="26" t="s">
        <v>18</v>
      </c>
      <c r="E73" s="30">
        <v>1.65</v>
      </c>
      <c r="F73" s="125">
        <v>80.0</v>
      </c>
      <c r="G73" s="28">
        <f t="shared" si="1"/>
        <v>960</v>
      </c>
      <c r="H73" s="29">
        <f t="shared" si="2"/>
        <v>132</v>
      </c>
      <c r="I73" s="30">
        <f t="shared" si="3"/>
        <v>1584</v>
      </c>
      <c r="J73" s="126">
        <v>70.0</v>
      </c>
    </row>
    <row r="74" ht="15.75" customHeight="1">
      <c r="A74" s="35" t="s">
        <v>113</v>
      </c>
      <c r="B74" s="36" t="s">
        <v>114</v>
      </c>
      <c r="C74" s="26" t="s">
        <v>17</v>
      </c>
      <c r="D74" s="26" t="s">
        <v>18</v>
      </c>
      <c r="E74" s="30">
        <v>3.7</v>
      </c>
      <c r="F74" s="125">
        <v>500.0</v>
      </c>
      <c r="G74" s="28">
        <f t="shared" si="1"/>
        <v>6000</v>
      </c>
      <c r="H74" s="29">
        <f t="shared" si="2"/>
        <v>1850</v>
      </c>
      <c r="I74" s="30">
        <f t="shared" si="3"/>
        <v>22200</v>
      </c>
      <c r="J74" s="126">
        <v>400.0</v>
      </c>
    </row>
    <row r="75" ht="15.75" customHeight="1">
      <c r="A75" s="35" t="s">
        <v>115</v>
      </c>
      <c r="B75" s="36" t="s">
        <v>116</v>
      </c>
      <c r="C75" s="26" t="s">
        <v>17</v>
      </c>
      <c r="D75" s="26" t="s">
        <v>18</v>
      </c>
      <c r="E75" s="30">
        <v>3.51</v>
      </c>
      <c r="F75" s="125">
        <v>20.0</v>
      </c>
      <c r="G75" s="28">
        <f t="shared" si="1"/>
        <v>240</v>
      </c>
      <c r="H75" s="29">
        <f t="shared" si="2"/>
        <v>70.2</v>
      </c>
      <c r="I75" s="30">
        <f t="shared" si="3"/>
        <v>842.4</v>
      </c>
      <c r="J75" s="126">
        <v>4.0</v>
      </c>
    </row>
    <row r="76" ht="15.75" customHeight="1">
      <c r="A76" s="35" t="s">
        <v>117</v>
      </c>
      <c r="B76" s="36" t="s">
        <v>118</v>
      </c>
      <c r="C76" s="26" t="s">
        <v>17</v>
      </c>
      <c r="D76" s="26" t="s">
        <v>18</v>
      </c>
      <c r="E76" s="30">
        <v>10.15</v>
      </c>
      <c r="F76" s="125">
        <v>10.0</v>
      </c>
      <c r="G76" s="28">
        <f t="shared" si="1"/>
        <v>120</v>
      </c>
      <c r="H76" s="29">
        <f t="shared" si="2"/>
        <v>101.5</v>
      </c>
      <c r="I76" s="30">
        <f t="shared" si="3"/>
        <v>1218</v>
      </c>
      <c r="J76" s="149">
        <v>40.0</v>
      </c>
    </row>
    <row r="77" ht="15.75" customHeight="1">
      <c r="A77" s="35" t="s">
        <v>119</v>
      </c>
      <c r="B77" s="36" t="s">
        <v>120</v>
      </c>
      <c r="C77" s="26" t="s">
        <v>17</v>
      </c>
      <c r="D77" s="26" t="s">
        <v>18</v>
      </c>
      <c r="E77" s="30">
        <v>7.85</v>
      </c>
      <c r="F77" s="125">
        <v>5.0</v>
      </c>
      <c r="G77" s="28">
        <f t="shared" si="1"/>
        <v>60</v>
      </c>
      <c r="H77" s="29">
        <f t="shared" si="2"/>
        <v>39.25</v>
      </c>
      <c r="I77" s="30">
        <f t="shared" si="3"/>
        <v>471</v>
      </c>
      <c r="J77" s="149">
        <v>15.0</v>
      </c>
    </row>
    <row r="78" ht="15.75" customHeight="1">
      <c r="A78" s="35" t="s">
        <v>121</v>
      </c>
      <c r="B78" s="36" t="s">
        <v>122</v>
      </c>
      <c r="C78" s="26" t="s">
        <v>17</v>
      </c>
      <c r="D78" s="26" t="s">
        <v>18</v>
      </c>
      <c r="E78" s="30">
        <v>7.89</v>
      </c>
      <c r="F78" s="125">
        <v>50.0</v>
      </c>
      <c r="G78" s="28">
        <f t="shared" si="1"/>
        <v>600</v>
      </c>
      <c r="H78" s="29">
        <f t="shared" si="2"/>
        <v>394.5</v>
      </c>
      <c r="I78" s="30">
        <f t="shared" si="3"/>
        <v>4734</v>
      </c>
      <c r="J78" s="149">
        <v>70.0</v>
      </c>
    </row>
    <row r="79" ht="15.75" customHeight="1">
      <c r="A79" s="150">
        <v>2.02060241E8</v>
      </c>
      <c r="B79" s="151" t="s">
        <v>256</v>
      </c>
      <c r="C79" s="152" t="s">
        <v>17</v>
      </c>
      <c r="D79" s="152" t="s">
        <v>18</v>
      </c>
      <c r="E79" s="153">
        <v>8.97</v>
      </c>
      <c r="F79" s="146">
        <v>50.0</v>
      </c>
      <c r="G79" s="146">
        <f t="shared" si="1"/>
        <v>600</v>
      </c>
      <c r="H79" s="145">
        <f t="shared" si="2"/>
        <v>448.5</v>
      </c>
      <c r="I79" s="147">
        <f t="shared" si="3"/>
        <v>5382</v>
      </c>
      <c r="J79" s="154"/>
    </row>
    <row r="80" ht="15.75" customHeight="1">
      <c r="A80" s="35" t="s">
        <v>123</v>
      </c>
      <c r="B80" s="36" t="s">
        <v>124</v>
      </c>
      <c r="C80" s="26" t="s">
        <v>17</v>
      </c>
      <c r="D80" s="26" t="s">
        <v>18</v>
      </c>
      <c r="E80" s="30">
        <v>8.96</v>
      </c>
      <c r="F80" s="125">
        <v>400.0</v>
      </c>
      <c r="G80" s="28">
        <f t="shared" si="1"/>
        <v>4800</v>
      </c>
      <c r="H80" s="29">
        <f t="shared" si="2"/>
        <v>3584</v>
      </c>
      <c r="I80" s="30">
        <f t="shared" si="3"/>
        <v>43008</v>
      </c>
      <c r="J80" s="126">
        <v>200.0</v>
      </c>
    </row>
    <row r="81" ht="15.75" customHeight="1">
      <c r="A81" s="35" t="s">
        <v>125</v>
      </c>
      <c r="B81" s="36" t="s">
        <v>126</v>
      </c>
      <c r="C81" s="26" t="s">
        <v>17</v>
      </c>
      <c r="D81" s="26" t="s">
        <v>18</v>
      </c>
      <c r="E81" s="30">
        <v>10.17</v>
      </c>
      <c r="F81" s="28">
        <v>20.0</v>
      </c>
      <c r="G81" s="28">
        <f t="shared" si="1"/>
        <v>240</v>
      </c>
      <c r="H81" s="29">
        <f t="shared" si="2"/>
        <v>203.4</v>
      </c>
      <c r="I81" s="30">
        <f t="shared" si="3"/>
        <v>2440.8</v>
      </c>
    </row>
    <row r="82" ht="15.75" customHeight="1">
      <c r="A82" s="35" t="s">
        <v>127</v>
      </c>
      <c r="B82" s="36" t="s">
        <v>128</v>
      </c>
      <c r="C82" s="26" t="s">
        <v>17</v>
      </c>
      <c r="D82" s="26" t="s">
        <v>18</v>
      </c>
      <c r="E82" s="30">
        <v>10.22</v>
      </c>
      <c r="F82" s="28">
        <v>30.0</v>
      </c>
      <c r="G82" s="28">
        <f t="shared" si="1"/>
        <v>360</v>
      </c>
      <c r="H82" s="29">
        <f t="shared" si="2"/>
        <v>306.6</v>
      </c>
      <c r="I82" s="30">
        <f t="shared" si="3"/>
        <v>3679.2</v>
      </c>
    </row>
    <row r="83" ht="15.75" customHeight="1">
      <c r="A83" s="35" t="s">
        <v>129</v>
      </c>
      <c r="B83" s="36" t="s">
        <v>130</v>
      </c>
      <c r="C83" s="26" t="s">
        <v>17</v>
      </c>
      <c r="D83" s="26" t="s">
        <v>18</v>
      </c>
      <c r="E83" s="30">
        <v>10.15</v>
      </c>
      <c r="F83" s="28">
        <v>30.0</v>
      </c>
      <c r="G83" s="28">
        <f t="shared" si="1"/>
        <v>360</v>
      </c>
      <c r="H83" s="29">
        <f t="shared" si="2"/>
        <v>304.5</v>
      </c>
      <c r="I83" s="30">
        <f t="shared" si="3"/>
        <v>3654</v>
      </c>
    </row>
    <row r="84" ht="15.75" customHeight="1">
      <c r="A84" s="35" t="s">
        <v>131</v>
      </c>
      <c r="B84" s="36" t="s">
        <v>132</v>
      </c>
      <c r="C84" s="26" t="s">
        <v>17</v>
      </c>
      <c r="D84" s="26" t="s">
        <v>18</v>
      </c>
      <c r="E84" s="30">
        <v>10.43</v>
      </c>
      <c r="F84" s="28">
        <v>20.0</v>
      </c>
      <c r="G84" s="28">
        <f t="shared" si="1"/>
        <v>240</v>
      </c>
      <c r="H84" s="29">
        <f t="shared" si="2"/>
        <v>208.6</v>
      </c>
      <c r="I84" s="30">
        <f t="shared" si="3"/>
        <v>2503.2</v>
      </c>
    </row>
    <row r="85" ht="15.75" customHeight="1">
      <c r="A85" s="35" t="s">
        <v>133</v>
      </c>
      <c r="B85" s="36" t="s">
        <v>134</v>
      </c>
      <c r="C85" s="26" t="s">
        <v>17</v>
      </c>
      <c r="D85" s="26" t="s">
        <v>18</v>
      </c>
      <c r="E85" s="30">
        <v>8.76</v>
      </c>
      <c r="F85" s="125">
        <v>200.0</v>
      </c>
      <c r="G85" s="28">
        <f t="shared" si="1"/>
        <v>2400</v>
      </c>
      <c r="H85" s="29">
        <f t="shared" si="2"/>
        <v>1752</v>
      </c>
      <c r="I85" s="30">
        <f t="shared" si="3"/>
        <v>21024</v>
      </c>
      <c r="J85" s="126">
        <v>150.0</v>
      </c>
    </row>
    <row r="86" ht="15.75" customHeight="1">
      <c r="A86" s="35" t="s">
        <v>135</v>
      </c>
      <c r="B86" s="36" t="s">
        <v>136</v>
      </c>
      <c r="C86" s="26" t="s">
        <v>17</v>
      </c>
      <c r="D86" s="26" t="s">
        <v>18</v>
      </c>
      <c r="E86" s="30">
        <v>11.6</v>
      </c>
      <c r="F86" s="125">
        <v>350.0</v>
      </c>
      <c r="G86" s="28">
        <f t="shared" si="1"/>
        <v>4200</v>
      </c>
      <c r="H86" s="29">
        <f t="shared" si="2"/>
        <v>4060</v>
      </c>
      <c r="I86" s="30">
        <f t="shared" si="3"/>
        <v>48720</v>
      </c>
      <c r="J86" s="126">
        <v>175.0</v>
      </c>
    </row>
    <row r="87" ht="15.75" customHeight="1">
      <c r="A87" s="35" t="s">
        <v>137</v>
      </c>
      <c r="B87" s="36" t="s">
        <v>138</v>
      </c>
      <c r="C87" s="26" t="s">
        <v>17</v>
      </c>
      <c r="D87" s="26" t="s">
        <v>18</v>
      </c>
      <c r="E87" s="30">
        <v>8.71</v>
      </c>
      <c r="F87" s="125">
        <v>200.0</v>
      </c>
      <c r="G87" s="28">
        <f t="shared" si="1"/>
        <v>2400</v>
      </c>
      <c r="H87" s="29">
        <f t="shared" si="2"/>
        <v>1742</v>
      </c>
      <c r="I87" s="30">
        <f t="shared" si="3"/>
        <v>20904</v>
      </c>
      <c r="J87" s="126">
        <v>175.0</v>
      </c>
    </row>
    <row r="88" ht="15.75" customHeight="1">
      <c r="A88" s="35" t="s">
        <v>139</v>
      </c>
      <c r="B88" s="36" t="s">
        <v>140</v>
      </c>
      <c r="C88" s="26" t="s">
        <v>17</v>
      </c>
      <c r="D88" s="26" t="s">
        <v>18</v>
      </c>
      <c r="E88" s="30">
        <v>4.98</v>
      </c>
      <c r="F88" s="125">
        <v>50.0</v>
      </c>
      <c r="G88" s="28">
        <f t="shared" si="1"/>
        <v>600</v>
      </c>
      <c r="H88" s="29">
        <f t="shared" si="2"/>
        <v>249</v>
      </c>
      <c r="I88" s="30">
        <f t="shared" si="3"/>
        <v>2988</v>
      </c>
      <c r="J88" s="126">
        <v>5.0</v>
      </c>
    </row>
    <row r="89" ht="15.75" customHeight="1">
      <c r="A89" s="35" t="s">
        <v>141</v>
      </c>
      <c r="B89" s="36" t="s">
        <v>142</v>
      </c>
      <c r="C89" s="26" t="s">
        <v>17</v>
      </c>
      <c r="D89" s="26" t="s">
        <v>18</v>
      </c>
      <c r="E89" s="30">
        <v>1.37</v>
      </c>
      <c r="F89" s="125">
        <v>50.0</v>
      </c>
      <c r="G89" s="28">
        <f t="shared" si="1"/>
        <v>600</v>
      </c>
      <c r="H89" s="29">
        <f t="shared" si="2"/>
        <v>68.5</v>
      </c>
      <c r="I89" s="30">
        <f t="shared" si="3"/>
        <v>822</v>
      </c>
      <c r="J89" s="149">
        <v>200.0</v>
      </c>
    </row>
    <row r="90" ht="15.75" customHeight="1">
      <c r="A90" s="35" t="s">
        <v>143</v>
      </c>
      <c r="B90" s="36" t="s">
        <v>144</v>
      </c>
      <c r="C90" s="26" t="s">
        <v>17</v>
      </c>
      <c r="D90" s="26" t="s">
        <v>18</v>
      </c>
      <c r="E90" s="30">
        <v>1.37</v>
      </c>
      <c r="F90" s="125">
        <v>50.0</v>
      </c>
      <c r="G90" s="28">
        <f t="shared" si="1"/>
        <v>600</v>
      </c>
      <c r="H90" s="29">
        <f t="shared" si="2"/>
        <v>68.5</v>
      </c>
      <c r="I90" s="30">
        <f t="shared" si="3"/>
        <v>822</v>
      </c>
      <c r="J90" s="149">
        <v>99.0</v>
      </c>
    </row>
    <row r="91" ht="15.75" customHeight="1">
      <c r="A91" s="35" t="s">
        <v>145</v>
      </c>
      <c r="B91" s="36" t="s">
        <v>146</v>
      </c>
      <c r="C91" s="26" t="s">
        <v>17</v>
      </c>
      <c r="D91" s="26" t="s">
        <v>18</v>
      </c>
      <c r="E91" s="30">
        <v>2.73</v>
      </c>
      <c r="F91" s="28">
        <v>4.0</v>
      </c>
      <c r="G91" s="28">
        <f t="shared" si="1"/>
        <v>48</v>
      </c>
      <c r="H91" s="29">
        <f t="shared" si="2"/>
        <v>10.92</v>
      </c>
      <c r="I91" s="30">
        <f t="shared" si="3"/>
        <v>131.04</v>
      </c>
    </row>
    <row r="92" ht="15.75" customHeight="1">
      <c r="A92" s="41">
        <v>2.02030741E8</v>
      </c>
      <c r="B92" s="36" t="s">
        <v>147</v>
      </c>
      <c r="C92" s="26" t="s">
        <v>17</v>
      </c>
      <c r="D92" s="26" t="s">
        <v>18</v>
      </c>
      <c r="E92" s="30" t="s">
        <v>148</v>
      </c>
      <c r="F92" s="125">
        <v>10.0</v>
      </c>
      <c r="G92" s="28">
        <f t="shared" si="1"/>
        <v>120</v>
      </c>
      <c r="H92" s="29">
        <f t="shared" si="2"/>
        <v>110</v>
      </c>
      <c r="I92" s="30">
        <f t="shared" si="3"/>
        <v>1320</v>
      </c>
      <c r="J92" s="149">
        <v>200.0</v>
      </c>
    </row>
    <row r="93" ht="15.75" customHeight="1">
      <c r="A93" s="42" t="s">
        <v>149</v>
      </c>
      <c r="B93" s="36" t="s">
        <v>150</v>
      </c>
      <c r="C93" s="26" t="s">
        <v>17</v>
      </c>
      <c r="D93" s="26" t="s">
        <v>18</v>
      </c>
      <c r="E93" s="30" t="s">
        <v>151</v>
      </c>
      <c r="F93" s="125">
        <v>10.0</v>
      </c>
      <c r="G93" s="28">
        <f t="shared" si="1"/>
        <v>120</v>
      </c>
      <c r="H93" s="29">
        <f t="shared" si="2"/>
        <v>116.1</v>
      </c>
      <c r="I93" s="30">
        <f t="shared" si="3"/>
        <v>1393.2</v>
      </c>
      <c r="J93" s="149">
        <v>200.0</v>
      </c>
    </row>
    <row r="94" ht="15.75" customHeight="1">
      <c r="A94" s="42" t="s">
        <v>152</v>
      </c>
      <c r="B94" s="36" t="s">
        <v>153</v>
      </c>
      <c r="C94" s="26" t="s">
        <v>17</v>
      </c>
      <c r="D94" s="26" t="s">
        <v>18</v>
      </c>
      <c r="E94" s="30" t="s">
        <v>154</v>
      </c>
      <c r="F94" s="125">
        <v>20.0</v>
      </c>
      <c r="G94" s="28">
        <f t="shared" si="1"/>
        <v>240</v>
      </c>
      <c r="H94" s="29">
        <f t="shared" si="2"/>
        <v>371</v>
      </c>
      <c r="I94" s="30">
        <f t="shared" si="3"/>
        <v>4452</v>
      </c>
    </row>
    <row r="95" ht="15.75" customHeight="1">
      <c r="A95" s="155">
        <v>2.02031535E8</v>
      </c>
      <c r="B95" s="156" t="s">
        <v>257</v>
      </c>
      <c r="C95" s="157" t="s">
        <v>17</v>
      </c>
      <c r="D95" s="157" t="s">
        <v>18</v>
      </c>
      <c r="E95" s="147" t="s">
        <v>154</v>
      </c>
      <c r="F95" s="146">
        <v>50.0</v>
      </c>
      <c r="G95" s="146">
        <f t="shared" si="1"/>
        <v>600</v>
      </c>
      <c r="H95" s="145">
        <f t="shared" si="2"/>
        <v>927.5</v>
      </c>
      <c r="I95" s="147">
        <f t="shared" si="3"/>
        <v>11130</v>
      </c>
    </row>
    <row r="96" ht="15.75" customHeight="1">
      <c r="A96" s="155">
        <v>2.02031543E8</v>
      </c>
      <c r="B96" s="156" t="s">
        <v>258</v>
      </c>
      <c r="C96" s="152" t="s">
        <v>17</v>
      </c>
      <c r="D96" s="152" t="s">
        <v>18</v>
      </c>
      <c r="E96" s="153">
        <v>18.55</v>
      </c>
      <c r="F96" s="146">
        <v>50.0</v>
      </c>
      <c r="G96" s="146">
        <f t="shared" si="1"/>
        <v>600</v>
      </c>
      <c r="H96" s="145">
        <f t="shared" si="2"/>
        <v>927.5</v>
      </c>
      <c r="I96" s="147">
        <f t="shared" si="3"/>
        <v>11130</v>
      </c>
    </row>
    <row r="97" ht="15.75" customHeight="1">
      <c r="A97" s="43" t="s">
        <v>156</v>
      </c>
      <c r="B97" s="44" t="s">
        <v>157</v>
      </c>
      <c r="C97" s="26" t="s">
        <v>17</v>
      </c>
      <c r="D97" s="26" t="s">
        <v>18</v>
      </c>
      <c r="E97" s="30" t="s">
        <v>158</v>
      </c>
      <c r="F97" s="125">
        <v>10.0</v>
      </c>
      <c r="G97" s="28">
        <f t="shared" si="1"/>
        <v>120</v>
      </c>
      <c r="H97" s="29">
        <f t="shared" si="2"/>
        <v>44.4</v>
      </c>
      <c r="I97" s="30">
        <f t="shared" si="3"/>
        <v>532.8</v>
      </c>
      <c r="J97" s="149">
        <v>100.0</v>
      </c>
    </row>
    <row r="98" ht="15.75" customHeight="1">
      <c r="A98" s="158" t="s">
        <v>259</v>
      </c>
      <c r="B98" s="7"/>
      <c r="C98" s="7"/>
      <c r="D98" s="7"/>
      <c r="E98" s="8"/>
      <c r="F98" s="159">
        <f t="shared" ref="F98:I98" si="4">SUM(F12:F97)</f>
        <v>11931</v>
      </c>
      <c r="G98" s="159">
        <f t="shared" si="4"/>
        <v>143172</v>
      </c>
      <c r="H98" s="160">
        <f t="shared" si="4"/>
        <v>59691.67</v>
      </c>
      <c r="I98" s="160">
        <f t="shared" si="4"/>
        <v>716300.04</v>
      </c>
    </row>
    <row r="99" ht="15.75" customHeight="1">
      <c r="A99" s="124" t="s">
        <v>160</v>
      </c>
      <c r="B99" s="7"/>
      <c r="C99" s="7"/>
      <c r="D99" s="7"/>
      <c r="E99" s="7"/>
      <c r="F99" s="7"/>
      <c r="G99" s="7"/>
      <c r="H99" s="7"/>
      <c r="I99" s="8"/>
    </row>
    <row r="100" ht="15.75" customHeight="1">
      <c r="A100" s="24" t="s">
        <v>161</v>
      </c>
      <c r="B100" s="55" t="s">
        <v>162</v>
      </c>
      <c r="C100" s="26" t="s">
        <v>17</v>
      </c>
      <c r="D100" s="26" t="s">
        <v>18</v>
      </c>
      <c r="E100" s="30">
        <v>37.95</v>
      </c>
      <c r="F100" s="125">
        <v>300.0</v>
      </c>
      <c r="G100" s="32">
        <f t="shared" ref="G100:G107" si="5">F100*12</f>
        <v>3600</v>
      </c>
      <c r="H100" s="33">
        <f t="shared" ref="H100:H107" si="6">F100*E100</f>
        <v>11385</v>
      </c>
      <c r="I100" s="30">
        <f t="shared" ref="I100:I107" si="7">H100*12</f>
        <v>136620</v>
      </c>
      <c r="J100" s="135">
        <v>500.0</v>
      </c>
    </row>
    <row r="101" ht="15.75" customHeight="1">
      <c r="A101" s="24" t="s">
        <v>163</v>
      </c>
      <c r="B101" s="55" t="s">
        <v>164</v>
      </c>
      <c r="C101" s="26" t="s">
        <v>17</v>
      </c>
      <c r="D101" s="26" t="s">
        <v>18</v>
      </c>
      <c r="E101" s="30">
        <v>24.2</v>
      </c>
      <c r="F101" s="125">
        <v>50.0</v>
      </c>
      <c r="G101" s="32">
        <f t="shared" si="5"/>
        <v>600</v>
      </c>
      <c r="H101" s="33">
        <f t="shared" si="6"/>
        <v>1210</v>
      </c>
      <c r="I101" s="30">
        <f t="shared" si="7"/>
        <v>14520</v>
      </c>
      <c r="J101" s="135">
        <v>100.0</v>
      </c>
    </row>
    <row r="102" ht="15.75" customHeight="1">
      <c r="A102" s="24" t="s">
        <v>165</v>
      </c>
      <c r="B102" s="55" t="s">
        <v>166</v>
      </c>
      <c r="C102" s="26" t="s">
        <v>17</v>
      </c>
      <c r="D102" s="26" t="s">
        <v>18</v>
      </c>
      <c r="E102" s="30">
        <v>24.2</v>
      </c>
      <c r="F102" s="125">
        <v>50.0</v>
      </c>
      <c r="G102" s="32">
        <f t="shared" si="5"/>
        <v>600</v>
      </c>
      <c r="H102" s="33">
        <f t="shared" si="6"/>
        <v>1210</v>
      </c>
      <c r="I102" s="30">
        <f t="shared" si="7"/>
        <v>14520</v>
      </c>
      <c r="J102" s="135">
        <v>100.0</v>
      </c>
    </row>
    <row r="103" ht="15.75" customHeight="1">
      <c r="A103" s="24" t="s">
        <v>167</v>
      </c>
      <c r="B103" s="55" t="s">
        <v>168</v>
      </c>
      <c r="C103" s="26" t="s">
        <v>17</v>
      </c>
      <c r="D103" s="26" t="s">
        <v>18</v>
      </c>
      <c r="E103" s="30">
        <v>24.2</v>
      </c>
      <c r="F103" s="125">
        <v>150.0</v>
      </c>
      <c r="G103" s="32">
        <f t="shared" si="5"/>
        <v>1800</v>
      </c>
      <c r="H103" s="33">
        <f t="shared" si="6"/>
        <v>3630</v>
      </c>
      <c r="I103" s="30">
        <f t="shared" si="7"/>
        <v>43560</v>
      </c>
      <c r="J103" s="135">
        <v>220.0</v>
      </c>
    </row>
    <row r="104" ht="15.75" customHeight="1">
      <c r="A104" s="56">
        <v>2.05020097E8</v>
      </c>
      <c r="B104" s="55" t="s">
        <v>169</v>
      </c>
      <c r="C104" s="26" t="s">
        <v>17</v>
      </c>
      <c r="D104" s="26" t="s">
        <v>18</v>
      </c>
      <c r="E104" s="30">
        <v>24.2</v>
      </c>
      <c r="F104" s="125">
        <v>120.0</v>
      </c>
      <c r="G104" s="32">
        <f t="shared" si="5"/>
        <v>1440</v>
      </c>
      <c r="H104" s="33">
        <f t="shared" si="6"/>
        <v>2904</v>
      </c>
      <c r="I104" s="30">
        <f t="shared" si="7"/>
        <v>34848</v>
      </c>
      <c r="J104" s="126">
        <v>30.0</v>
      </c>
    </row>
    <row r="105" ht="15.75" customHeight="1">
      <c r="A105" s="26">
        <v>2.05020127E8</v>
      </c>
      <c r="B105" s="55" t="s">
        <v>170</v>
      </c>
      <c r="C105" s="26" t="s">
        <v>17</v>
      </c>
      <c r="D105" s="26" t="s">
        <v>18</v>
      </c>
      <c r="E105" s="30">
        <v>24.2</v>
      </c>
      <c r="F105" s="125">
        <v>50.0</v>
      </c>
      <c r="G105" s="32">
        <f t="shared" si="5"/>
        <v>600</v>
      </c>
      <c r="H105" s="33">
        <f t="shared" si="6"/>
        <v>1210</v>
      </c>
      <c r="I105" s="30">
        <f t="shared" si="7"/>
        <v>14520</v>
      </c>
      <c r="J105" s="126">
        <v>30.0</v>
      </c>
    </row>
    <row r="106" ht="15.75" customHeight="1">
      <c r="A106" s="26">
        <v>2.05020062E8</v>
      </c>
      <c r="B106" s="55" t="s">
        <v>171</v>
      </c>
      <c r="C106" s="26" t="s">
        <v>17</v>
      </c>
      <c r="D106" s="26" t="s">
        <v>18</v>
      </c>
      <c r="E106" s="30">
        <v>24.2</v>
      </c>
      <c r="F106" s="125">
        <v>150.0</v>
      </c>
      <c r="G106" s="32">
        <f t="shared" si="5"/>
        <v>1800</v>
      </c>
      <c r="H106" s="33">
        <f t="shared" si="6"/>
        <v>3630</v>
      </c>
      <c r="I106" s="30">
        <f t="shared" si="7"/>
        <v>43560</v>
      </c>
      <c r="J106" s="126">
        <v>20.0</v>
      </c>
    </row>
    <row r="107" ht="15.75" customHeight="1">
      <c r="A107" s="24" t="s">
        <v>172</v>
      </c>
      <c r="B107" s="55" t="s">
        <v>173</v>
      </c>
      <c r="C107" s="26" t="s">
        <v>17</v>
      </c>
      <c r="D107" s="26" t="s">
        <v>18</v>
      </c>
      <c r="E107" s="30">
        <v>24.2</v>
      </c>
      <c r="F107" s="125">
        <v>150.0</v>
      </c>
      <c r="G107" s="32">
        <f t="shared" si="5"/>
        <v>1800</v>
      </c>
      <c r="H107" s="33">
        <f t="shared" si="6"/>
        <v>3630</v>
      </c>
      <c r="I107" s="30">
        <f t="shared" si="7"/>
        <v>43560</v>
      </c>
      <c r="J107" s="126">
        <v>200.0</v>
      </c>
    </row>
    <row r="108" ht="15.75" customHeight="1">
      <c r="A108" s="158" t="s">
        <v>260</v>
      </c>
      <c r="B108" s="7"/>
      <c r="C108" s="7"/>
      <c r="D108" s="7"/>
      <c r="E108" s="8"/>
      <c r="F108" s="159">
        <f t="shared" ref="F108:I108" si="8">SUM(F100:F107)</f>
        <v>1020</v>
      </c>
      <c r="G108" s="159">
        <f t="shared" si="8"/>
        <v>12240</v>
      </c>
      <c r="H108" s="161">
        <f t="shared" si="8"/>
        <v>28809</v>
      </c>
      <c r="I108" s="162">
        <f t="shared" si="8"/>
        <v>345708</v>
      </c>
    </row>
    <row r="109" ht="15.75" customHeight="1">
      <c r="A109" s="124" t="s">
        <v>175</v>
      </c>
      <c r="B109" s="7"/>
      <c r="C109" s="7"/>
      <c r="D109" s="7"/>
      <c r="E109" s="7"/>
      <c r="F109" s="7"/>
      <c r="G109" s="7"/>
      <c r="H109" s="7"/>
      <c r="I109" s="8"/>
    </row>
    <row r="110" ht="15.75" customHeight="1">
      <c r="A110" s="163" t="s">
        <v>176</v>
      </c>
      <c r="B110" s="164" t="s">
        <v>177</v>
      </c>
      <c r="C110" s="165" t="s">
        <v>17</v>
      </c>
      <c r="D110" s="165" t="s">
        <v>18</v>
      </c>
      <c r="E110" s="166">
        <v>4.06</v>
      </c>
      <c r="F110" s="167">
        <v>0.0</v>
      </c>
      <c r="G110" s="168">
        <f t="shared" ref="G110:G124" si="9">F110*12</f>
        <v>0</v>
      </c>
      <c r="H110" s="166">
        <f t="shared" ref="H110:H124" si="10">F110*E110</f>
        <v>0</v>
      </c>
      <c r="I110" s="169">
        <f t="shared" ref="I110:I124" si="11">H110*12</f>
        <v>0</v>
      </c>
      <c r="J110" s="136">
        <v>340.0</v>
      </c>
      <c r="K110" s="170" t="s">
        <v>261</v>
      </c>
    </row>
    <row r="111" ht="15.75" customHeight="1">
      <c r="A111" s="163" t="s">
        <v>178</v>
      </c>
      <c r="B111" s="171" t="s">
        <v>179</v>
      </c>
      <c r="C111" s="165" t="s">
        <v>17</v>
      </c>
      <c r="D111" s="165" t="s">
        <v>18</v>
      </c>
      <c r="E111" s="172">
        <v>21.0</v>
      </c>
      <c r="F111" s="167">
        <v>0.0</v>
      </c>
      <c r="G111" s="168">
        <f t="shared" si="9"/>
        <v>0</v>
      </c>
      <c r="H111" s="166">
        <f t="shared" si="10"/>
        <v>0</v>
      </c>
      <c r="I111" s="169">
        <f t="shared" si="11"/>
        <v>0</v>
      </c>
      <c r="J111" s="136">
        <v>400.0</v>
      </c>
      <c r="K111" s="170" t="s">
        <v>261</v>
      </c>
    </row>
    <row r="112" ht="15.75" customHeight="1">
      <c r="A112" s="173" t="s">
        <v>180</v>
      </c>
      <c r="B112" s="171" t="s">
        <v>181</v>
      </c>
      <c r="C112" s="165" t="s">
        <v>17</v>
      </c>
      <c r="D112" s="165" t="s">
        <v>18</v>
      </c>
      <c r="E112" s="172">
        <v>20.13</v>
      </c>
      <c r="F112" s="167">
        <v>0.0</v>
      </c>
      <c r="G112" s="168">
        <f t="shared" si="9"/>
        <v>0</v>
      </c>
      <c r="H112" s="166">
        <f t="shared" si="10"/>
        <v>0</v>
      </c>
      <c r="I112" s="169">
        <f t="shared" si="11"/>
        <v>0</v>
      </c>
      <c r="J112" s="136">
        <v>400.0</v>
      </c>
      <c r="K112" s="170" t="s">
        <v>261</v>
      </c>
    </row>
    <row r="113" ht="15.75" customHeight="1">
      <c r="A113" s="35" t="s">
        <v>182</v>
      </c>
      <c r="B113" s="65" t="s">
        <v>183</v>
      </c>
      <c r="C113" s="26" t="s">
        <v>17</v>
      </c>
      <c r="D113" s="26" t="s">
        <v>18</v>
      </c>
      <c r="E113" s="30">
        <v>21.0</v>
      </c>
      <c r="F113" s="125">
        <v>300.0</v>
      </c>
      <c r="G113" s="28">
        <f t="shared" si="9"/>
        <v>3600</v>
      </c>
      <c r="H113" s="29">
        <f t="shared" si="10"/>
        <v>6300</v>
      </c>
      <c r="I113" s="30">
        <f t="shared" si="11"/>
        <v>75600</v>
      </c>
      <c r="J113" s="135">
        <v>600.0</v>
      </c>
    </row>
    <row r="114" ht="15.75" customHeight="1">
      <c r="A114" s="173" t="s">
        <v>184</v>
      </c>
      <c r="B114" s="174" t="s">
        <v>185</v>
      </c>
      <c r="C114" s="165" t="s">
        <v>17</v>
      </c>
      <c r="D114" s="165" t="s">
        <v>18</v>
      </c>
      <c r="E114" s="169">
        <v>18.0</v>
      </c>
      <c r="F114" s="167">
        <v>0.0</v>
      </c>
      <c r="G114" s="168">
        <f t="shared" si="9"/>
        <v>0</v>
      </c>
      <c r="H114" s="166">
        <f t="shared" si="10"/>
        <v>0</v>
      </c>
      <c r="I114" s="169">
        <f t="shared" si="11"/>
        <v>0</v>
      </c>
      <c r="J114" s="136">
        <v>600.0</v>
      </c>
      <c r="K114" s="170" t="s">
        <v>261</v>
      </c>
    </row>
    <row r="115" ht="15.75" customHeight="1">
      <c r="A115" s="35" t="s">
        <v>186</v>
      </c>
      <c r="B115" s="65" t="s">
        <v>187</v>
      </c>
      <c r="C115" s="26" t="s">
        <v>17</v>
      </c>
      <c r="D115" s="26" t="s">
        <v>18</v>
      </c>
      <c r="E115" s="30">
        <v>4.11</v>
      </c>
      <c r="F115" s="125">
        <v>150.0</v>
      </c>
      <c r="G115" s="28">
        <f t="shared" si="9"/>
        <v>1800</v>
      </c>
      <c r="H115" s="29">
        <f t="shared" si="10"/>
        <v>616.5</v>
      </c>
      <c r="I115" s="30">
        <f t="shared" si="11"/>
        <v>7398</v>
      </c>
      <c r="J115" s="126">
        <v>125.0</v>
      </c>
    </row>
    <row r="116" ht="15.75" customHeight="1">
      <c r="A116" s="173" t="s">
        <v>188</v>
      </c>
      <c r="B116" s="174" t="s">
        <v>189</v>
      </c>
      <c r="C116" s="165" t="s">
        <v>17</v>
      </c>
      <c r="D116" s="165" t="s">
        <v>18</v>
      </c>
      <c r="E116" s="169">
        <v>4.11</v>
      </c>
      <c r="F116" s="167">
        <v>0.0</v>
      </c>
      <c r="G116" s="168">
        <f t="shared" si="9"/>
        <v>0</v>
      </c>
      <c r="H116" s="175">
        <f t="shared" si="10"/>
        <v>0</v>
      </c>
      <c r="I116" s="169">
        <f t="shared" si="11"/>
        <v>0</v>
      </c>
      <c r="J116" s="136">
        <v>125.0</v>
      </c>
      <c r="K116" s="170" t="s">
        <v>261</v>
      </c>
    </row>
    <row r="117" ht="15.75" customHeight="1">
      <c r="A117" s="35" t="s">
        <v>190</v>
      </c>
      <c r="B117" s="66" t="s">
        <v>191</v>
      </c>
      <c r="C117" s="26" t="s">
        <v>17</v>
      </c>
      <c r="D117" s="26" t="s">
        <v>18</v>
      </c>
      <c r="E117" s="30">
        <v>4.11</v>
      </c>
      <c r="F117" s="125">
        <v>300.0</v>
      </c>
      <c r="G117" s="28">
        <f t="shared" si="9"/>
        <v>3600</v>
      </c>
      <c r="H117" s="33">
        <f t="shared" si="10"/>
        <v>1233</v>
      </c>
      <c r="I117" s="30">
        <f t="shared" si="11"/>
        <v>14796</v>
      </c>
      <c r="J117" s="135">
        <v>425.0</v>
      </c>
    </row>
    <row r="118" ht="15.75" customHeight="1">
      <c r="A118" s="35" t="s">
        <v>192</v>
      </c>
      <c r="B118" s="66" t="s">
        <v>193</v>
      </c>
      <c r="C118" s="26" t="s">
        <v>17</v>
      </c>
      <c r="D118" s="26" t="s">
        <v>18</v>
      </c>
      <c r="E118" s="30">
        <v>4.11</v>
      </c>
      <c r="F118" s="125">
        <v>300.0</v>
      </c>
      <c r="G118" s="28">
        <f t="shared" si="9"/>
        <v>3600</v>
      </c>
      <c r="H118" s="33">
        <f t="shared" si="10"/>
        <v>1233</v>
      </c>
      <c r="I118" s="30">
        <f t="shared" si="11"/>
        <v>14796</v>
      </c>
      <c r="J118" s="126">
        <v>125.0</v>
      </c>
    </row>
    <row r="119" ht="15.75" customHeight="1">
      <c r="A119" s="35" t="s">
        <v>194</v>
      </c>
      <c r="B119" s="66" t="s">
        <v>195</v>
      </c>
      <c r="C119" s="26" t="s">
        <v>17</v>
      </c>
      <c r="D119" s="26" t="s">
        <v>18</v>
      </c>
      <c r="E119" s="30">
        <v>13.51</v>
      </c>
      <c r="F119" s="125">
        <v>300.0</v>
      </c>
      <c r="G119" s="28">
        <f t="shared" si="9"/>
        <v>3600</v>
      </c>
      <c r="H119" s="33">
        <f t="shared" si="10"/>
        <v>4053</v>
      </c>
      <c r="I119" s="30">
        <f t="shared" si="11"/>
        <v>48636</v>
      </c>
      <c r="J119" s="135">
        <v>425.0</v>
      </c>
    </row>
    <row r="120" ht="15.75" customHeight="1">
      <c r="A120" s="35" t="s">
        <v>196</v>
      </c>
      <c r="B120" s="66" t="s">
        <v>197</v>
      </c>
      <c r="C120" s="26" t="s">
        <v>17</v>
      </c>
      <c r="D120" s="26" t="s">
        <v>18</v>
      </c>
      <c r="E120" s="30">
        <v>46.88</v>
      </c>
      <c r="F120" s="125">
        <v>300.0</v>
      </c>
      <c r="G120" s="28">
        <f t="shared" si="9"/>
        <v>3600</v>
      </c>
      <c r="H120" s="33">
        <f t="shared" si="10"/>
        <v>14064</v>
      </c>
      <c r="I120" s="30">
        <f t="shared" si="11"/>
        <v>168768</v>
      </c>
      <c r="J120" s="135">
        <v>425.0</v>
      </c>
    </row>
    <row r="121" ht="15.75" customHeight="1">
      <c r="A121" s="35" t="s">
        <v>198</v>
      </c>
      <c r="B121" s="66" t="s">
        <v>199</v>
      </c>
      <c r="C121" s="26" t="s">
        <v>17</v>
      </c>
      <c r="D121" s="26" t="s">
        <v>18</v>
      </c>
      <c r="E121" s="30">
        <v>23.0</v>
      </c>
      <c r="F121" s="125">
        <v>300.0</v>
      </c>
      <c r="G121" s="28">
        <f t="shared" si="9"/>
        <v>3600</v>
      </c>
      <c r="H121" s="33">
        <f t="shared" si="10"/>
        <v>6900</v>
      </c>
      <c r="I121" s="30">
        <f t="shared" si="11"/>
        <v>82800</v>
      </c>
      <c r="J121" s="135">
        <v>595.0</v>
      </c>
    </row>
    <row r="122" ht="15.75" customHeight="1">
      <c r="A122" s="35" t="s">
        <v>200</v>
      </c>
      <c r="B122" s="66" t="s">
        <v>201</v>
      </c>
      <c r="C122" s="26" t="s">
        <v>17</v>
      </c>
      <c r="D122" s="26" t="s">
        <v>18</v>
      </c>
      <c r="E122" s="30">
        <v>26.25</v>
      </c>
      <c r="F122" s="125">
        <v>300.0</v>
      </c>
      <c r="G122" s="28">
        <f t="shared" si="9"/>
        <v>3600</v>
      </c>
      <c r="H122" s="33">
        <f t="shared" si="10"/>
        <v>7875</v>
      </c>
      <c r="I122" s="30">
        <f t="shared" si="11"/>
        <v>94500</v>
      </c>
      <c r="J122" s="135">
        <v>595.0</v>
      </c>
    </row>
    <row r="123" ht="15.75" customHeight="1">
      <c r="A123" s="173" t="s">
        <v>202</v>
      </c>
      <c r="B123" s="176" t="s">
        <v>203</v>
      </c>
      <c r="C123" s="165" t="s">
        <v>17</v>
      </c>
      <c r="D123" s="165" t="s">
        <v>18</v>
      </c>
      <c r="E123" s="169">
        <v>46.88</v>
      </c>
      <c r="F123" s="167">
        <v>0.0</v>
      </c>
      <c r="G123" s="168">
        <f t="shared" si="9"/>
        <v>0</v>
      </c>
      <c r="H123" s="175">
        <f t="shared" si="10"/>
        <v>0</v>
      </c>
      <c r="I123" s="169">
        <f t="shared" si="11"/>
        <v>0</v>
      </c>
      <c r="J123" s="136">
        <v>340.0</v>
      </c>
      <c r="K123" s="170" t="s">
        <v>261</v>
      </c>
    </row>
    <row r="124" ht="15.75" customHeight="1">
      <c r="A124" s="24" t="s">
        <v>204</v>
      </c>
      <c r="B124" s="67" t="s">
        <v>205</v>
      </c>
      <c r="C124" s="26" t="s">
        <v>17</v>
      </c>
      <c r="D124" s="26" t="s">
        <v>18</v>
      </c>
      <c r="E124" s="30">
        <v>12.0</v>
      </c>
      <c r="F124" s="125">
        <v>150.0</v>
      </c>
      <c r="G124" s="28">
        <f t="shared" si="9"/>
        <v>1800</v>
      </c>
      <c r="H124" s="33">
        <f t="shared" si="10"/>
        <v>1800</v>
      </c>
      <c r="I124" s="30">
        <f t="shared" si="11"/>
        <v>21600</v>
      </c>
      <c r="J124" s="126">
        <v>100.0</v>
      </c>
    </row>
    <row r="125" ht="15.75" customHeight="1">
      <c r="A125" s="158" t="s">
        <v>262</v>
      </c>
      <c r="B125" s="7"/>
      <c r="C125" s="7"/>
      <c r="D125" s="7"/>
      <c r="E125" s="8"/>
      <c r="F125" s="159">
        <f t="shared" ref="F125:I125" si="12">SUM(F110:F124)</f>
        <v>2400</v>
      </c>
      <c r="G125" s="159">
        <f t="shared" si="12"/>
        <v>28800</v>
      </c>
      <c r="H125" s="161">
        <f t="shared" si="12"/>
        <v>44074.5</v>
      </c>
      <c r="I125" s="162">
        <f t="shared" si="12"/>
        <v>528894</v>
      </c>
    </row>
    <row r="126" ht="15.75" customHeight="1">
      <c r="A126" s="177" t="s">
        <v>263</v>
      </c>
      <c r="B126" s="7"/>
      <c r="C126" s="7"/>
      <c r="D126" s="7"/>
      <c r="E126" s="8"/>
      <c r="F126" s="178">
        <f t="shared" ref="F126:I126" si="13">F98+F108+F125</f>
        <v>15351</v>
      </c>
      <c r="G126" s="178">
        <f t="shared" si="13"/>
        <v>184212</v>
      </c>
      <c r="H126" s="179">
        <f t="shared" si="13"/>
        <v>132575.17</v>
      </c>
      <c r="I126" s="178">
        <f t="shared" si="13"/>
        <v>1590902.04</v>
      </c>
    </row>
    <row r="127" ht="15.75" customHeight="1">
      <c r="A127" s="123" t="s">
        <v>207</v>
      </c>
      <c r="B127" s="7"/>
      <c r="C127" s="7"/>
      <c r="D127" s="7"/>
      <c r="E127" s="7"/>
      <c r="F127" s="7"/>
      <c r="G127" s="7"/>
      <c r="H127" s="7"/>
      <c r="I127" s="8"/>
    </row>
    <row r="128" ht="15.75" customHeight="1">
      <c r="A128" s="124" t="s">
        <v>208</v>
      </c>
      <c r="B128" s="7"/>
      <c r="C128" s="7"/>
      <c r="D128" s="7"/>
      <c r="E128" s="7"/>
      <c r="F128" s="7"/>
      <c r="G128" s="7"/>
      <c r="H128" s="7"/>
      <c r="I128" s="8"/>
    </row>
    <row r="129" ht="15.75" customHeight="1">
      <c r="A129" s="85" t="s">
        <v>209</v>
      </c>
      <c r="B129" s="86" t="s">
        <v>210</v>
      </c>
      <c r="C129" s="26" t="s">
        <v>17</v>
      </c>
      <c r="D129" s="26" t="s">
        <v>18</v>
      </c>
      <c r="E129" s="30">
        <v>6.3</v>
      </c>
      <c r="F129" s="180">
        <v>1000.0</v>
      </c>
      <c r="G129" s="88">
        <f t="shared" ref="G129:G137" si="14">F129*12</f>
        <v>12000</v>
      </c>
      <c r="H129" s="33">
        <f t="shared" ref="H129:H137" si="15">F129*E129</f>
        <v>6300</v>
      </c>
      <c r="I129" s="30">
        <f t="shared" ref="I129:I137" si="16">H129*12</f>
        <v>75600</v>
      </c>
      <c r="J129" s="135">
        <v>1400.0</v>
      </c>
    </row>
    <row r="130" ht="15.75" customHeight="1">
      <c r="A130" s="85" t="s">
        <v>211</v>
      </c>
      <c r="B130" s="89" t="s">
        <v>212</v>
      </c>
      <c r="C130" s="26" t="s">
        <v>17</v>
      </c>
      <c r="D130" s="26" t="s">
        <v>18</v>
      </c>
      <c r="E130" s="30">
        <v>10.0</v>
      </c>
      <c r="F130" s="180">
        <v>700.0</v>
      </c>
      <c r="G130" s="88">
        <f t="shared" si="14"/>
        <v>8400</v>
      </c>
      <c r="H130" s="33">
        <f t="shared" si="15"/>
        <v>7000</v>
      </c>
      <c r="I130" s="30">
        <f t="shared" si="16"/>
        <v>84000</v>
      </c>
      <c r="J130" s="126">
        <v>350.0</v>
      </c>
    </row>
    <row r="131" ht="15.75" customHeight="1">
      <c r="A131" s="85" t="s">
        <v>213</v>
      </c>
      <c r="B131" s="90" t="s">
        <v>214</v>
      </c>
      <c r="C131" s="26" t="s">
        <v>17</v>
      </c>
      <c r="D131" s="26" t="s">
        <v>18</v>
      </c>
      <c r="E131" s="30">
        <v>6.15</v>
      </c>
      <c r="F131" s="180">
        <v>200.0</v>
      </c>
      <c r="G131" s="88">
        <f t="shared" si="14"/>
        <v>2400</v>
      </c>
      <c r="H131" s="33">
        <f t="shared" si="15"/>
        <v>1230</v>
      </c>
      <c r="I131" s="30">
        <f t="shared" si="16"/>
        <v>14760</v>
      </c>
      <c r="J131" s="135">
        <v>400.0</v>
      </c>
    </row>
    <row r="132">
      <c r="A132" s="91" t="s">
        <v>215</v>
      </c>
      <c r="B132" s="92" t="s">
        <v>216</v>
      </c>
      <c r="C132" s="26" t="s">
        <v>17</v>
      </c>
      <c r="D132" s="26" t="s">
        <v>18</v>
      </c>
      <c r="E132" s="30">
        <v>17.67</v>
      </c>
      <c r="F132" s="180">
        <v>700.0</v>
      </c>
      <c r="G132" s="88">
        <f t="shared" si="14"/>
        <v>8400</v>
      </c>
      <c r="H132" s="33">
        <f t="shared" si="15"/>
        <v>12369</v>
      </c>
      <c r="I132" s="30">
        <f t="shared" si="16"/>
        <v>148428</v>
      </c>
      <c r="J132" s="126">
        <v>450.0</v>
      </c>
    </row>
    <row r="133">
      <c r="A133" s="91" t="s">
        <v>217</v>
      </c>
      <c r="B133" s="93" t="s">
        <v>218</v>
      </c>
      <c r="C133" s="26" t="s">
        <v>17</v>
      </c>
      <c r="D133" s="26" t="s">
        <v>18</v>
      </c>
      <c r="E133" s="30">
        <v>17.67</v>
      </c>
      <c r="F133" s="180">
        <v>700.0</v>
      </c>
      <c r="G133" s="88">
        <f t="shared" si="14"/>
        <v>8400</v>
      </c>
      <c r="H133" s="33">
        <f t="shared" si="15"/>
        <v>12369</v>
      </c>
      <c r="I133" s="30">
        <f t="shared" si="16"/>
        <v>148428</v>
      </c>
      <c r="J133" s="181">
        <v>450.0</v>
      </c>
    </row>
    <row r="134" ht="15.75" customHeight="1">
      <c r="A134" s="94" t="s">
        <v>219</v>
      </c>
      <c r="B134" s="95" t="s">
        <v>220</v>
      </c>
      <c r="C134" s="26" t="s">
        <v>17</v>
      </c>
      <c r="D134" s="26" t="s">
        <v>18</v>
      </c>
      <c r="E134" s="30">
        <v>17.67</v>
      </c>
      <c r="F134" s="180">
        <v>700.0</v>
      </c>
      <c r="G134" s="88">
        <f t="shared" si="14"/>
        <v>8400</v>
      </c>
      <c r="H134" s="33">
        <f t="shared" si="15"/>
        <v>12369</v>
      </c>
      <c r="I134" s="30">
        <f t="shared" si="16"/>
        <v>148428</v>
      </c>
      <c r="J134" s="181">
        <v>450.0</v>
      </c>
    </row>
    <row r="135">
      <c r="A135" s="91" t="s">
        <v>221</v>
      </c>
      <c r="B135" s="93" t="s">
        <v>222</v>
      </c>
      <c r="C135" s="26" t="s">
        <v>17</v>
      </c>
      <c r="D135" s="26" t="s">
        <v>18</v>
      </c>
      <c r="E135" s="30">
        <v>7.71</v>
      </c>
      <c r="F135" s="180">
        <v>700.0</v>
      </c>
      <c r="G135" s="88">
        <f t="shared" si="14"/>
        <v>8400</v>
      </c>
      <c r="H135" s="33">
        <f t="shared" si="15"/>
        <v>5397</v>
      </c>
      <c r="I135" s="30">
        <f t="shared" si="16"/>
        <v>64764</v>
      </c>
      <c r="J135" s="181">
        <v>400.0</v>
      </c>
    </row>
    <row r="136">
      <c r="A136" s="91" t="s">
        <v>223</v>
      </c>
      <c r="B136" s="93" t="s">
        <v>224</v>
      </c>
      <c r="C136" s="26" t="s">
        <v>17</v>
      </c>
      <c r="D136" s="26" t="s">
        <v>18</v>
      </c>
      <c r="E136" s="30">
        <v>17.67</v>
      </c>
      <c r="F136" s="180">
        <v>700.0</v>
      </c>
      <c r="G136" s="88">
        <f t="shared" si="14"/>
        <v>8400</v>
      </c>
      <c r="H136" s="33">
        <f t="shared" si="15"/>
        <v>12369</v>
      </c>
      <c r="I136" s="30">
        <f t="shared" si="16"/>
        <v>148428</v>
      </c>
      <c r="J136" s="181">
        <v>400.0</v>
      </c>
    </row>
    <row r="137" ht="15.75" customHeight="1">
      <c r="A137" s="85" t="s">
        <v>225</v>
      </c>
      <c r="B137" s="96" t="s">
        <v>226</v>
      </c>
      <c r="C137" s="26" t="s">
        <v>17</v>
      </c>
      <c r="D137" s="26" t="s">
        <v>18</v>
      </c>
      <c r="E137" s="30">
        <v>10.9</v>
      </c>
      <c r="F137" s="180">
        <v>700.0</v>
      </c>
      <c r="G137" s="88">
        <f t="shared" si="14"/>
        <v>8400</v>
      </c>
      <c r="H137" s="33">
        <f t="shared" si="15"/>
        <v>7630</v>
      </c>
      <c r="I137" s="30">
        <f t="shared" si="16"/>
        <v>91560</v>
      </c>
      <c r="J137" s="181">
        <v>400.0</v>
      </c>
    </row>
    <row r="138" ht="15.75" customHeight="1">
      <c r="A138" s="158" t="s">
        <v>264</v>
      </c>
      <c r="B138" s="7"/>
      <c r="C138" s="7"/>
      <c r="D138" s="7"/>
      <c r="E138" s="8"/>
      <c r="F138" s="159">
        <f t="shared" ref="F138:I138" si="17">SUM(F129:F137)</f>
        <v>6100</v>
      </c>
      <c r="G138" s="159">
        <f t="shared" si="17"/>
        <v>73200</v>
      </c>
      <c r="H138" s="161">
        <f t="shared" si="17"/>
        <v>77033</v>
      </c>
      <c r="I138" s="162">
        <f t="shared" si="17"/>
        <v>924396</v>
      </c>
    </row>
    <row r="139" ht="15.75" customHeight="1">
      <c r="A139" s="182" t="s">
        <v>265</v>
      </c>
      <c r="B139" s="7"/>
      <c r="C139" s="7"/>
      <c r="D139" s="7"/>
      <c r="E139" s="7"/>
      <c r="F139" s="7"/>
      <c r="G139" s="7"/>
      <c r="H139" s="7"/>
      <c r="I139" s="8"/>
    </row>
    <row r="140" ht="15.75" customHeight="1">
      <c r="A140" s="101">
        <v>3.02050019E8</v>
      </c>
      <c r="B140" s="183" t="s">
        <v>266</v>
      </c>
      <c r="C140" s="103" t="s">
        <v>17</v>
      </c>
      <c r="D140" s="103" t="s">
        <v>18</v>
      </c>
      <c r="E140" s="30">
        <v>6.35</v>
      </c>
      <c r="F140" s="184">
        <v>1500.0</v>
      </c>
      <c r="G140" s="185">
        <f t="shared" ref="G140:G143" si="18">F140*12</f>
        <v>18000</v>
      </c>
      <c r="H140" s="186">
        <f t="shared" ref="H140:H145" si="19">F140*E140</f>
        <v>9525</v>
      </c>
      <c r="I140" s="187">
        <f t="shared" ref="I140:I143" si="20">H140*12</f>
        <v>114300</v>
      </c>
      <c r="J140" s="135">
        <v>2000.0</v>
      </c>
    </row>
    <row r="141" ht="15.75" customHeight="1">
      <c r="A141" s="188">
        <v>3.02050027E8</v>
      </c>
      <c r="B141" s="189" t="s">
        <v>230</v>
      </c>
      <c r="C141" s="190" t="s">
        <v>17</v>
      </c>
      <c r="D141" s="190" t="s">
        <v>18</v>
      </c>
      <c r="E141" s="169">
        <v>6.35</v>
      </c>
      <c r="F141" s="191">
        <v>0.0</v>
      </c>
      <c r="G141" s="192">
        <f t="shared" si="18"/>
        <v>0</v>
      </c>
      <c r="H141" s="193">
        <f t="shared" si="19"/>
        <v>0</v>
      </c>
      <c r="I141" s="169">
        <f t="shared" si="20"/>
        <v>0</v>
      </c>
      <c r="J141" s="136">
        <v>2892.0</v>
      </c>
    </row>
    <row r="142" ht="15.75" customHeight="1">
      <c r="A142" s="188">
        <v>3.02050035E8</v>
      </c>
      <c r="B142" s="194" t="s">
        <v>267</v>
      </c>
      <c r="C142" s="190" t="s">
        <v>17</v>
      </c>
      <c r="D142" s="190" t="s">
        <v>18</v>
      </c>
      <c r="E142" s="169">
        <v>6.35</v>
      </c>
      <c r="F142" s="191">
        <v>0.0</v>
      </c>
      <c r="G142" s="192">
        <f t="shared" si="18"/>
        <v>0</v>
      </c>
      <c r="H142" s="193">
        <f t="shared" si="19"/>
        <v>0</v>
      </c>
      <c r="I142" s="169">
        <f t="shared" si="20"/>
        <v>0</v>
      </c>
      <c r="J142" s="136">
        <v>1500.0</v>
      </c>
    </row>
    <row r="143" ht="15.75" customHeight="1">
      <c r="A143" s="188">
        <v>3.02060049E8</v>
      </c>
      <c r="B143" s="195" t="s">
        <v>232</v>
      </c>
      <c r="C143" s="196" t="s">
        <v>17</v>
      </c>
      <c r="D143" s="196" t="s">
        <v>18</v>
      </c>
      <c r="E143" s="169">
        <v>6.35</v>
      </c>
      <c r="F143" s="191">
        <v>0.0</v>
      </c>
      <c r="G143" s="197">
        <f t="shared" si="18"/>
        <v>0</v>
      </c>
      <c r="H143" s="198">
        <f t="shared" si="19"/>
        <v>0</v>
      </c>
      <c r="I143" s="169">
        <f t="shared" si="20"/>
        <v>0</v>
      </c>
      <c r="J143" s="136">
        <v>400.0</v>
      </c>
    </row>
    <row r="144" ht="15.75" customHeight="1">
      <c r="A144" s="199">
        <v>3.02060022E8</v>
      </c>
      <c r="B144" s="200" t="s">
        <v>268</v>
      </c>
      <c r="C144" s="201" t="s">
        <v>17</v>
      </c>
      <c r="D144" s="201" t="s">
        <v>18</v>
      </c>
      <c r="E144" s="200">
        <v>6.35</v>
      </c>
      <c r="F144" s="202">
        <v>1500.0</v>
      </c>
      <c r="G144" s="203">
        <f t="shared" ref="G144:G145" si="21">F144*12</f>
        <v>18000</v>
      </c>
      <c r="H144" s="204">
        <f t="shared" si="19"/>
        <v>9525</v>
      </c>
      <c r="I144" s="205">
        <f t="shared" ref="I144:I145" si="22">H144*12</f>
        <v>114300</v>
      </c>
    </row>
    <row r="145">
      <c r="A145" s="201">
        <v>3.0107004E8</v>
      </c>
      <c r="B145" s="200" t="s">
        <v>269</v>
      </c>
      <c r="C145" s="201" t="s">
        <v>17</v>
      </c>
      <c r="D145" s="201" t="s">
        <v>18</v>
      </c>
      <c r="E145" s="200">
        <v>17.67</v>
      </c>
      <c r="F145" s="202">
        <v>3000.0</v>
      </c>
      <c r="G145" s="203">
        <f t="shared" si="21"/>
        <v>36000</v>
      </c>
      <c r="H145" s="204">
        <f t="shared" si="19"/>
        <v>53010</v>
      </c>
      <c r="I145" s="205">
        <f t="shared" si="22"/>
        <v>636120</v>
      </c>
    </row>
    <row r="146" ht="15.75" customHeight="1">
      <c r="A146" s="158" t="s">
        <v>270</v>
      </c>
      <c r="B146" s="7"/>
      <c r="C146" s="7"/>
      <c r="D146" s="7"/>
      <c r="E146" s="8"/>
      <c r="F146" s="159">
        <f t="shared" ref="F146:I146" si="23">SUM(F140:F145)</f>
        <v>6000</v>
      </c>
      <c r="G146" s="159">
        <f t="shared" si="23"/>
        <v>72000</v>
      </c>
      <c r="H146" s="161">
        <f t="shared" si="23"/>
        <v>72060</v>
      </c>
      <c r="I146" s="162">
        <f t="shared" si="23"/>
        <v>864720</v>
      </c>
    </row>
    <row r="147" ht="15.75" customHeight="1">
      <c r="A147" s="182" t="s">
        <v>271</v>
      </c>
      <c r="B147" s="7"/>
      <c r="C147" s="7"/>
      <c r="D147" s="7"/>
      <c r="E147" s="7"/>
      <c r="F147" s="7"/>
      <c r="G147" s="7"/>
      <c r="H147" s="7"/>
      <c r="I147" s="8"/>
    </row>
    <row r="148" ht="15.75" customHeight="1">
      <c r="A148" s="199">
        <v>3.02060022E8</v>
      </c>
      <c r="B148" s="200" t="s">
        <v>268</v>
      </c>
      <c r="C148" s="201" t="s">
        <v>17</v>
      </c>
      <c r="D148" s="201" t="s">
        <v>18</v>
      </c>
      <c r="E148" s="200">
        <v>6.35</v>
      </c>
      <c r="F148" s="202">
        <v>50.0</v>
      </c>
      <c r="G148" s="203">
        <f t="shared" ref="G148:G149" si="24">F148*12</f>
        <v>600</v>
      </c>
      <c r="H148" s="204">
        <f t="shared" ref="H148:H150" si="25">F148*E148</f>
        <v>317.5</v>
      </c>
      <c r="I148" s="205">
        <f t="shared" ref="I148:I149" si="26">H148*12</f>
        <v>3810</v>
      </c>
    </row>
    <row r="149" ht="15.75" customHeight="1">
      <c r="A149" s="201">
        <v>3.0107004E8</v>
      </c>
      <c r="B149" s="200" t="s">
        <v>269</v>
      </c>
      <c r="C149" s="201" t="s">
        <v>17</v>
      </c>
      <c r="D149" s="201" t="s">
        <v>18</v>
      </c>
      <c r="E149" s="200">
        <v>17.67</v>
      </c>
      <c r="F149" s="202">
        <v>200.0</v>
      </c>
      <c r="G149" s="203">
        <f t="shared" si="24"/>
        <v>2400</v>
      </c>
      <c r="H149" s="204">
        <f t="shared" si="25"/>
        <v>3534</v>
      </c>
      <c r="I149" s="205">
        <f t="shared" si="26"/>
        <v>42408</v>
      </c>
    </row>
    <row r="150" ht="15.75" customHeight="1">
      <c r="A150" s="101">
        <v>3.02060049E8</v>
      </c>
      <c r="B150" s="44" t="s">
        <v>232</v>
      </c>
      <c r="C150" s="108" t="s">
        <v>17</v>
      </c>
      <c r="D150" s="108" t="s">
        <v>18</v>
      </c>
      <c r="E150" s="30">
        <v>6.35</v>
      </c>
      <c r="F150" s="206">
        <v>200.0</v>
      </c>
      <c r="G150" s="207">
        <f>F150*12</f>
        <v>2400</v>
      </c>
      <c r="H150" s="208">
        <f t="shared" si="25"/>
        <v>1270</v>
      </c>
      <c r="I150" s="30">
        <f>H150*12</f>
        <v>15240</v>
      </c>
      <c r="J150" s="135">
        <v>400.0</v>
      </c>
    </row>
    <row r="151" ht="15.75" customHeight="1">
      <c r="A151" s="158" t="s">
        <v>272</v>
      </c>
      <c r="B151" s="7"/>
      <c r="C151" s="7"/>
      <c r="D151" s="7"/>
      <c r="E151" s="8"/>
      <c r="F151" s="159">
        <f t="shared" ref="F151:I151" si="27">sum(F148:F150)</f>
        <v>450</v>
      </c>
      <c r="G151" s="159">
        <f t="shared" si="27"/>
        <v>5400</v>
      </c>
      <c r="H151" s="161">
        <f t="shared" si="27"/>
        <v>5121.5</v>
      </c>
      <c r="I151" s="162">
        <f t="shared" si="27"/>
        <v>61458</v>
      </c>
    </row>
    <row r="152" ht="15.75" customHeight="1">
      <c r="A152" s="158" t="s">
        <v>273</v>
      </c>
      <c r="B152" s="7"/>
      <c r="C152" s="7"/>
      <c r="D152" s="7"/>
      <c r="E152" s="8"/>
      <c r="F152" s="159">
        <f t="shared" ref="F152:I152" si="28">SUM(F146,F151)</f>
        <v>6450</v>
      </c>
      <c r="G152" s="159">
        <f t="shared" si="28"/>
        <v>77400</v>
      </c>
      <c r="H152" s="161">
        <f t="shared" si="28"/>
        <v>77181.5</v>
      </c>
      <c r="I152" s="162">
        <f t="shared" si="28"/>
        <v>926178</v>
      </c>
    </row>
    <row r="153" ht="15.75" customHeight="1">
      <c r="A153" s="177" t="s">
        <v>274</v>
      </c>
      <c r="B153" s="7"/>
      <c r="C153" s="7"/>
      <c r="D153" s="7"/>
      <c r="E153" s="8"/>
      <c r="F153" s="178">
        <f>sum(F138,F152)</f>
        <v>12550</v>
      </c>
      <c r="G153" s="178">
        <f>F153*12</f>
        <v>150600</v>
      </c>
      <c r="H153" s="179">
        <f t="shared" ref="H153:I153" si="29">sum(H138,H152)</f>
        <v>154214.5</v>
      </c>
      <c r="I153" s="178">
        <f t="shared" si="29"/>
        <v>1850574</v>
      </c>
    </row>
    <row r="154" ht="15.75" customHeight="1">
      <c r="A154" s="123" t="s">
        <v>275</v>
      </c>
      <c r="B154" s="7"/>
      <c r="C154" s="7"/>
      <c r="D154" s="7"/>
      <c r="E154" s="7"/>
      <c r="F154" s="7"/>
      <c r="G154" s="7"/>
      <c r="H154" s="7"/>
      <c r="I154" s="8"/>
    </row>
    <row r="155" ht="15.75" customHeight="1">
      <c r="A155" s="124" t="s">
        <v>276</v>
      </c>
      <c r="B155" s="7"/>
      <c r="C155" s="7"/>
      <c r="D155" s="7"/>
      <c r="E155" s="7"/>
      <c r="F155" s="7"/>
      <c r="G155" s="7"/>
      <c r="H155" s="7"/>
      <c r="I155" s="8"/>
    </row>
    <row r="156" ht="15.75" customHeight="1">
      <c r="A156" s="209" t="s">
        <v>277</v>
      </c>
      <c r="B156" s="209" t="s">
        <v>278</v>
      </c>
      <c r="C156" s="210" t="s">
        <v>17</v>
      </c>
      <c r="D156" s="210" t="s">
        <v>18</v>
      </c>
      <c r="E156" s="211">
        <v>5.63</v>
      </c>
      <c r="F156" s="125">
        <v>80.0</v>
      </c>
      <c r="G156" s="28">
        <f>F156*12</f>
        <v>960</v>
      </c>
      <c r="H156" s="29">
        <f>E156*F156</f>
        <v>450.4</v>
      </c>
      <c r="I156" s="30">
        <f>H156*12</f>
        <v>5404.8</v>
      </c>
    </row>
    <row r="157" ht="15.75" customHeight="1">
      <c r="A157" s="212" t="s">
        <v>234</v>
      </c>
      <c r="B157" s="7"/>
      <c r="C157" s="7"/>
      <c r="D157" s="7"/>
      <c r="E157" s="8"/>
      <c r="F157" s="213">
        <f t="shared" ref="F157:I157" si="30">SUM(F126,F153,F156)</f>
        <v>27981</v>
      </c>
      <c r="G157" s="213">
        <f t="shared" si="30"/>
        <v>335772</v>
      </c>
      <c r="H157" s="214">
        <f t="shared" si="30"/>
        <v>287240.07</v>
      </c>
      <c r="I157" s="214">
        <f t="shared" si="30"/>
        <v>3446880.84</v>
      </c>
    </row>
    <row r="158" ht="15.75" customHeight="1"/>
    <row r="159" ht="15.75" customHeight="1">
      <c r="A159" s="215" t="s">
        <v>279</v>
      </c>
      <c r="B159" s="7"/>
      <c r="C159" s="7"/>
      <c r="D159" s="7"/>
      <c r="E159" s="7"/>
      <c r="F159" s="7"/>
      <c r="G159" s="7"/>
      <c r="H159" s="7"/>
      <c r="I159" s="8"/>
    </row>
    <row r="160" ht="15.75" customHeight="1">
      <c r="A160" s="216">
        <v>3.01070296E8</v>
      </c>
      <c r="B160" s="217" t="s">
        <v>280</v>
      </c>
      <c r="C160" s="216" t="s">
        <v>17</v>
      </c>
      <c r="D160" s="216" t="s">
        <v>18</v>
      </c>
      <c r="E160" s="218">
        <v>0.0</v>
      </c>
      <c r="F160" s="219">
        <v>20.0</v>
      </c>
      <c r="G160" s="220">
        <f>F160*12</f>
        <v>240</v>
      </c>
      <c r="H160" s="221">
        <f t="shared" ref="H160:H169" si="31">E160*F160</f>
        <v>0</v>
      </c>
      <c r="I160" s="222">
        <f t="shared" ref="I160:I169" si="32">H160*12</f>
        <v>0</v>
      </c>
    </row>
    <row r="161" ht="15.75" customHeight="1">
      <c r="A161" s="223" t="s">
        <v>209</v>
      </c>
      <c r="B161" s="217" t="s">
        <v>210</v>
      </c>
      <c r="C161" s="224" t="s">
        <v>17</v>
      </c>
      <c r="D161" s="224" t="s">
        <v>18</v>
      </c>
      <c r="E161" s="222">
        <v>6.3</v>
      </c>
      <c r="F161" s="219">
        <v>0.0</v>
      </c>
      <c r="G161" s="220">
        <f t="shared" ref="G161:G169" si="33">F161*12</f>
        <v>0</v>
      </c>
      <c r="H161" s="221">
        <f t="shared" si="31"/>
        <v>0</v>
      </c>
      <c r="I161" s="222">
        <f t="shared" si="32"/>
        <v>0</v>
      </c>
    </row>
    <row r="162" ht="15.75" customHeight="1">
      <c r="A162" s="223" t="s">
        <v>211</v>
      </c>
      <c r="B162" s="217" t="s">
        <v>212</v>
      </c>
      <c r="C162" s="224" t="s">
        <v>17</v>
      </c>
      <c r="D162" s="224" t="s">
        <v>18</v>
      </c>
      <c r="E162" s="222">
        <v>10.0</v>
      </c>
      <c r="F162" s="219">
        <v>0.0</v>
      </c>
      <c r="G162" s="220">
        <f t="shared" si="33"/>
        <v>0</v>
      </c>
      <c r="H162" s="221">
        <f t="shared" si="31"/>
        <v>0</v>
      </c>
      <c r="I162" s="222">
        <f t="shared" si="32"/>
        <v>0</v>
      </c>
    </row>
    <row r="163" ht="15.75" customHeight="1">
      <c r="A163" s="216" t="s">
        <v>281</v>
      </c>
      <c r="B163" s="225" t="s">
        <v>282</v>
      </c>
      <c r="C163" s="224" t="s">
        <v>17</v>
      </c>
      <c r="D163" s="224" t="s">
        <v>18</v>
      </c>
      <c r="E163" s="222">
        <v>6.15</v>
      </c>
      <c r="F163" s="219">
        <v>0.0</v>
      </c>
      <c r="G163" s="220">
        <f t="shared" si="33"/>
        <v>0</v>
      </c>
      <c r="H163" s="221">
        <f t="shared" si="31"/>
        <v>0</v>
      </c>
      <c r="I163" s="222">
        <f t="shared" si="32"/>
        <v>0</v>
      </c>
    </row>
    <row r="164" ht="15.75" customHeight="1">
      <c r="A164" s="226" t="s">
        <v>283</v>
      </c>
      <c r="B164" s="227" t="s">
        <v>284</v>
      </c>
      <c r="C164" s="224" t="s">
        <v>17</v>
      </c>
      <c r="D164" s="224" t="s">
        <v>18</v>
      </c>
      <c r="E164" s="222">
        <v>17.67</v>
      </c>
      <c r="F164" s="219">
        <v>450.0</v>
      </c>
      <c r="G164" s="220">
        <f t="shared" si="33"/>
        <v>5400</v>
      </c>
      <c r="H164" s="221">
        <f t="shared" si="31"/>
        <v>7951.5</v>
      </c>
      <c r="I164" s="222">
        <f t="shared" si="32"/>
        <v>95418</v>
      </c>
    </row>
    <row r="165" ht="15.75" customHeight="1">
      <c r="A165" s="226" t="s">
        <v>285</v>
      </c>
      <c r="B165" s="228" t="s">
        <v>269</v>
      </c>
      <c r="C165" s="224" t="s">
        <v>17</v>
      </c>
      <c r="D165" s="224" t="s">
        <v>18</v>
      </c>
      <c r="E165" s="222">
        <v>17.67</v>
      </c>
      <c r="F165" s="219">
        <v>0.0</v>
      </c>
      <c r="G165" s="220">
        <f t="shared" si="33"/>
        <v>0</v>
      </c>
      <c r="H165" s="221">
        <f t="shared" si="31"/>
        <v>0</v>
      </c>
      <c r="I165" s="222">
        <f t="shared" si="32"/>
        <v>0</v>
      </c>
    </row>
    <row r="166" ht="15.75" customHeight="1">
      <c r="A166" s="229" t="s">
        <v>286</v>
      </c>
      <c r="B166" s="230" t="s">
        <v>287</v>
      </c>
      <c r="C166" s="224" t="s">
        <v>17</v>
      </c>
      <c r="D166" s="224" t="s">
        <v>18</v>
      </c>
      <c r="E166" s="222">
        <v>17.67</v>
      </c>
      <c r="F166" s="219">
        <v>450.0</v>
      </c>
      <c r="G166" s="220">
        <f t="shared" si="33"/>
        <v>5400</v>
      </c>
      <c r="H166" s="221">
        <f t="shared" si="31"/>
        <v>7951.5</v>
      </c>
      <c r="I166" s="222">
        <f t="shared" si="32"/>
        <v>95418</v>
      </c>
    </row>
    <row r="167" ht="15.75" customHeight="1">
      <c r="A167" s="226" t="s">
        <v>288</v>
      </c>
      <c r="B167" s="228" t="s">
        <v>289</v>
      </c>
      <c r="C167" s="224" t="s">
        <v>17</v>
      </c>
      <c r="D167" s="224" t="s">
        <v>18</v>
      </c>
      <c r="E167" s="222">
        <v>7.71</v>
      </c>
      <c r="F167" s="219">
        <v>450.0</v>
      </c>
      <c r="G167" s="220">
        <f t="shared" si="33"/>
        <v>5400</v>
      </c>
      <c r="H167" s="221">
        <f t="shared" si="31"/>
        <v>3469.5</v>
      </c>
      <c r="I167" s="222">
        <f t="shared" si="32"/>
        <v>41634</v>
      </c>
    </row>
    <row r="168" ht="15.75" customHeight="1">
      <c r="A168" s="226" t="s">
        <v>290</v>
      </c>
      <c r="B168" s="228" t="s">
        <v>291</v>
      </c>
      <c r="C168" s="224" t="s">
        <v>17</v>
      </c>
      <c r="D168" s="224" t="s">
        <v>18</v>
      </c>
      <c r="E168" s="222">
        <v>17.67</v>
      </c>
      <c r="F168" s="219">
        <v>0.0</v>
      </c>
      <c r="G168" s="220">
        <f t="shared" si="33"/>
        <v>0</v>
      </c>
      <c r="H168" s="221">
        <f t="shared" si="31"/>
        <v>0</v>
      </c>
      <c r="I168" s="222">
        <f t="shared" si="32"/>
        <v>0</v>
      </c>
    </row>
    <row r="169" ht="15.75" customHeight="1">
      <c r="A169" s="216" t="s">
        <v>292</v>
      </c>
      <c r="B169" s="231" t="s">
        <v>293</v>
      </c>
      <c r="C169" s="224" t="s">
        <v>17</v>
      </c>
      <c r="D169" s="224" t="s">
        <v>18</v>
      </c>
      <c r="E169" s="222">
        <v>10.9</v>
      </c>
      <c r="F169" s="219">
        <v>0.0</v>
      </c>
      <c r="G169" s="220">
        <f t="shared" si="33"/>
        <v>0</v>
      </c>
      <c r="H169" s="221">
        <f t="shared" si="31"/>
        <v>0</v>
      </c>
      <c r="I169" s="222">
        <f t="shared" si="32"/>
        <v>0</v>
      </c>
    </row>
    <row r="170" ht="15.75" customHeight="1">
      <c r="A170" s="216" t="s">
        <v>294</v>
      </c>
      <c r="B170" s="231" t="s">
        <v>295</v>
      </c>
      <c r="C170" s="216" t="s">
        <v>17</v>
      </c>
      <c r="D170" s="216" t="s">
        <v>18</v>
      </c>
      <c r="E170" s="218">
        <v>0.0</v>
      </c>
      <c r="F170" s="219">
        <v>0.0</v>
      </c>
      <c r="G170" s="219" t="s">
        <v>296</v>
      </c>
      <c r="H170" s="232" t="s">
        <v>296</v>
      </c>
      <c r="I170" s="218" t="s">
        <v>296</v>
      </c>
    </row>
    <row r="171" ht="15.75" customHeight="1">
      <c r="A171" s="233" t="s">
        <v>297</v>
      </c>
      <c r="F171" s="234">
        <f t="shared" ref="F171:I171" si="34">SUM(F160:F170)</f>
        <v>1370</v>
      </c>
      <c r="G171" s="234">
        <f t="shared" si="34"/>
        <v>16440</v>
      </c>
      <c r="H171" s="235">
        <f t="shared" si="34"/>
        <v>19372.5</v>
      </c>
      <c r="I171" s="235">
        <f t="shared" si="34"/>
        <v>232470</v>
      </c>
    </row>
    <row r="172" ht="15.75" customHeight="1">
      <c r="A172" s="236" t="s">
        <v>298</v>
      </c>
      <c r="B172" s="7"/>
      <c r="C172" s="7"/>
      <c r="D172" s="7"/>
      <c r="E172" s="8"/>
      <c r="F172" s="213">
        <f t="shared" ref="F172:I172" si="35">SUM(F157,F171)</f>
        <v>29351</v>
      </c>
      <c r="G172" s="213">
        <f t="shared" si="35"/>
        <v>352212</v>
      </c>
      <c r="H172" s="214">
        <f t="shared" si="35"/>
        <v>306612.57</v>
      </c>
      <c r="I172" s="214">
        <f t="shared" si="35"/>
        <v>3679350.84</v>
      </c>
    </row>
    <row r="173" ht="15.75" customHeight="1"/>
    <row r="174" ht="15.75" customHeight="1"/>
    <row r="175" ht="15.75" customHeight="1">
      <c r="B175" s="237" t="s">
        <v>299</v>
      </c>
      <c r="H175" s="238">
        <v>316480.8</v>
      </c>
      <c r="I175" s="239">
        <f>H175*12</f>
        <v>3797769.6</v>
      </c>
    </row>
    <row r="176" ht="15.75" customHeight="1">
      <c r="F176" s="240" t="s">
        <v>300</v>
      </c>
      <c r="G176" s="8"/>
      <c r="H176" s="241">
        <f t="shared" ref="H176:I176" si="36">H172-H175</f>
        <v>-9868.23</v>
      </c>
      <c r="I176" s="241">
        <f t="shared" si="36"/>
        <v>-118418.76</v>
      </c>
    </row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</sheetData>
  <mergeCells count="33">
    <mergeCell ref="A6:I6"/>
    <mergeCell ref="A8:A9"/>
    <mergeCell ref="B8:B9"/>
    <mergeCell ref="C8:C9"/>
    <mergeCell ref="D8:D9"/>
    <mergeCell ref="E8:E9"/>
    <mergeCell ref="F8:G8"/>
    <mergeCell ref="H8:I8"/>
    <mergeCell ref="A10:I10"/>
    <mergeCell ref="A11:I11"/>
    <mergeCell ref="A98:E98"/>
    <mergeCell ref="A99:I99"/>
    <mergeCell ref="A108:E108"/>
    <mergeCell ref="A109:I109"/>
    <mergeCell ref="A125:E125"/>
    <mergeCell ref="A126:E126"/>
    <mergeCell ref="A127:I127"/>
    <mergeCell ref="A128:I128"/>
    <mergeCell ref="A138:E138"/>
    <mergeCell ref="A139:I139"/>
    <mergeCell ref="A147:I147"/>
    <mergeCell ref="A157:E157"/>
    <mergeCell ref="A171:E171"/>
    <mergeCell ref="A172:E172"/>
    <mergeCell ref="B175:E175"/>
    <mergeCell ref="F176:G176"/>
    <mergeCell ref="A146:E146"/>
    <mergeCell ref="A151:E151"/>
    <mergeCell ref="A152:E152"/>
    <mergeCell ref="A153:E153"/>
    <mergeCell ref="A154:I154"/>
    <mergeCell ref="A155:I155"/>
    <mergeCell ref="A159:I159"/>
  </mergeCells>
  <printOptions/>
  <pageMargins bottom="0.75" footer="0.0" header="0.0" left="0.25" right="0.25" top="0.75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17.86"/>
    <col customWidth="1" min="2" max="2" width="88.29"/>
  </cols>
  <sheetData>
    <row r="3">
      <c r="A3" s="242" t="s">
        <v>301</v>
      </c>
      <c r="B3" s="8"/>
      <c r="C3" s="83"/>
      <c r="D3" s="83"/>
      <c r="F3" s="14" t="s">
        <v>11</v>
      </c>
      <c r="G3" s="14" t="s">
        <v>12</v>
      </c>
      <c r="H3" s="15" t="s">
        <v>11</v>
      </c>
      <c r="I3" s="15" t="s">
        <v>12</v>
      </c>
    </row>
    <row r="4">
      <c r="A4" s="243">
        <v>3.01070296E8</v>
      </c>
      <c r="B4" s="89" t="s">
        <v>280</v>
      </c>
      <c r="C4" s="243" t="s">
        <v>17</v>
      </c>
      <c r="D4" s="243" t="s">
        <v>18</v>
      </c>
      <c r="E4" s="211">
        <v>0.0</v>
      </c>
      <c r="F4" s="180">
        <v>20.0</v>
      </c>
      <c r="G4" s="88">
        <f>F4*12</f>
        <v>240</v>
      </c>
      <c r="H4" s="33">
        <f t="shared" ref="H4:H13" si="1">E4*F4</f>
        <v>0</v>
      </c>
      <c r="I4" s="244"/>
    </row>
    <row r="5">
      <c r="A5" s="85" t="s">
        <v>209</v>
      </c>
      <c r="B5" s="86" t="s">
        <v>210</v>
      </c>
      <c r="C5" s="26" t="s">
        <v>17</v>
      </c>
      <c r="D5" s="26" t="s">
        <v>18</v>
      </c>
      <c r="E5" s="30">
        <v>6.3</v>
      </c>
      <c r="F5" s="180">
        <v>150.0</v>
      </c>
      <c r="G5" s="88">
        <f t="shared" ref="G5:G13" si="2">F5*12</f>
        <v>1800</v>
      </c>
      <c r="H5" s="33">
        <f t="shared" si="1"/>
        <v>945</v>
      </c>
      <c r="I5" s="30">
        <f t="shared" ref="I5:I14" si="3">H5*12</f>
        <v>11340</v>
      </c>
    </row>
    <row r="6">
      <c r="A6" s="85" t="s">
        <v>211</v>
      </c>
      <c r="B6" s="89" t="s">
        <v>212</v>
      </c>
      <c r="C6" s="26" t="s">
        <v>17</v>
      </c>
      <c r="D6" s="26" t="s">
        <v>18</v>
      </c>
      <c r="E6" s="30">
        <v>10.0</v>
      </c>
      <c r="F6" s="180">
        <v>30.0</v>
      </c>
      <c r="G6" s="88">
        <f t="shared" si="2"/>
        <v>360</v>
      </c>
      <c r="H6" s="33">
        <f t="shared" si="1"/>
        <v>300</v>
      </c>
      <c r="I6" s="30">
        <f t="shared" si="3"/>
        <v>3600</v>
      </c>
    </row>
    <row r="7">
      <c r="A7" s="243" t="s">
        <v>281</v>
      </c>
      <c r="B7" s="245" t="s">
        <v>282</v>
      </c>
      <c r="C7" s="26" t="s">
        <v>17</v>
      </c>
      <c r="D7" s="26" t="s">
        <v>18</v>
      </c>
      <c r="E7" s="30">
        <v>6.15</v>
      </c>
      <c r="F7" s="180">
        <v>400.0</v>
      </c>
      <c r="G7" s="88">
        <f t="shared" si="2"/>
        <v>4800</v>
      </c>
      <c r="H7" s="33">
        <f t="shared" si="1"/>
        <v>2460</v>
      </c>
      <c r="I7" s="30">
        <f t="shared" si="3"/>
        <v>29520</v>
      </c>
    </row>
    <row r="8">
      <c r="A8" s="246" t="s">
        <v>283</v>
      </c>
      <c r="B8" s="247" t="s">
        <v>284</v>
      </c>
      <c r="C8" s="26" t="s">
        <v>17</v>
      </c>
      <c r="D8" s="26" t="s">
        <v>18</v>
      </c>
      <c r="E8" s="30">
        <v>17.67</v>
      </c>
      <c r="F8" s="180">
        <v>450.0</v>
      </c>
      <c r="G8" s="88">
        <f t="shared" si="2"/>
        <v>5400</v>
      </c>
      <c r="H8" s="33">
        <f t="shared" si="1"/>
        <v>7951.5</v>
      </c>
      <c r="I8" s="30">
        <f t="shared" si="3"/>
        <v>95418</v>
      </c>
    </row>
    <row r="9">
      <c r="A9" s="246" t="s">
        <v>285</v>
      </c>
      <c r="B9" s="248" t="s">
        <v>269</v>
      </c>
      <c r="C9" s="26" t="s">
        <v>17</v>
      </c>
      <c r="D9" s="26" t="s">
        <v>18</v>
      </c>
      <c r="E9" s="30">
        <v>17.67</v>
      </c>
      <c r="F9" s="180">
        <v>450.0</v>
      </c>
      <c r="G9" s="88">
        <f t="shared" si="2"/>
        <v>5400</v>
      </c>
      <c r="H9" s="33">
        <f t="shared" si="1"/>
        <v>7951.5</v>
      </c>
      <c r="I9" s="30">
        <f t="shared" si="3"/>
        <v>95418</v>
      </c>
    </row>
    <row r="10">
      <c r="A10" s="249" t="s">
        <v>286</v>
      </c>
      <c r="B10" s="250" t="s">
        <v>287</v>
      </c>
      <c r="C10" s="26" t="s">
        <v>17</v>
      </c>
      <c r="D10" s="26" t="s">
        <v>18</v>
      </c>
      <c r="E10" s="30">
        <v>17.67</v>
      </c>
      <c r="F10" s="180">
        <v>450.0</v>
      </c>
      <c r="G10" s="88">
        <f t="shared" si="2"/>
        <v>5400</v>
      </c>
      <c r="H10" s="33">
        <f t="shared" si="1"/>
        <v>7951.5</v>
      </c>
      <c r="I10" s="30">
        <f t="shared" si="3"/>
        <v>95418</v>
      </c>
    </row>
    <row r="11">
      <c r="A11" s="246" t="s">
        <v>288</v>
      </c>
      <c r="B11" s="248" t="s">
        <v>289</v>
      </c>
      <c r="C11" s="26" t="s">
        <v>17</v>
      </c>
      <c r="D11" s="26" t="s">
        <v>18</v>
      </c>
      <c r="E11" s="30">
        <v>7.71</v>
      </c>
      <c r="F11" s="180">
        <v>450.0</v>
      </c>
      <c r="G11" s="88">
        <f t="shared" si="2"/>
        <v>5400</v>
      </c>
      <c r="H11" s="33">
        <f t="shared" si="1"/>
        <v>3469.5</v>
      </c>
      <c r="I11" s="30">
        <f t="shared" si="3"/>
        <v>41634</v>
      </c>
    </row>
    <row r="12">
      <c r="A12" s="246" t="s">
        <v>290</v>
      </c>
      <c r="B12" s="248" t="s">
        <v>291</v>
      </c>
      <c r="C12" s="26" t="s">
        <v>17</v>
      </c>
      <c r="D12" s="26" t="s">
        <v>18</v>
      </c>
      <c r="E12" s="30">
        <v>17.67</v>
      </c>
      <c r="F12" s="180">
        <v>450.0</v>
      </c>
      <c r="G12" s="88">
        <f t="shared" si="2"/>
        <v>5400</v>
      </c>
      <c r="H12" s="33">
        <f t="shared" si="1"/>
        <v>7951.5</v>
      </c>
      <c r="I12" s="30">
        <f t="shared" si="3"/>
        <v>95418</v>
      </c>
    </row>
    <row r="13">
      <c r="A13" s="243" t="s">
        <v>292</v>
      </c>
      <c r="B13" s="183" t="s">
        <v>293</v>
      </c>
      <c r="C13" s="26" t="s">
        <v>17</v>
      </c>
      <c r="D13" s="26" t="s">
        <v>18</v>
      </c>
      <c r="E13" s="30">
        <v>10.9</v>
      </c>
      <c r="F13" s="180">
        <v>450.0</v>
      </c>
      <c r="G13" s="88">
        <f t="shared" si="2"/>
        <v>5400</v>
      </c>
      <c r="H13" s="33">
        <f t="shared" si="1"/>
        <v>4905</v>
      </c>
      <c r="I13" s="30">
        <f t="shared" si="3"/>
        <v>58860</v>
      </c>
    </row>
    <row r="14">
      <c r="F14" s="251">
        <f>SUM(F4:F13)</f>
        <v>3300</v>
      </c>
      <c r="G14" s="252">
        <f>F14*12</f>
        <v>39600</v>
      </c>
      <c r="H14" s="33">
        <f>SUM(H4:H13)</f>
        <v>43885.5</v>
      </c>
      <c r="I14" s="30">
        <f t="shared" si="3"/>
        <v>526626</v>
      </c>
    </row>
  </sheetData>
  <mergeCells count="1">
    <mergeCell ref="A3:B3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2026-01-14T12:02:04Z</dcterms:created>
  <dc:creator>zauli.costa</dc:creator>
</cp:coreProperties>
</file>