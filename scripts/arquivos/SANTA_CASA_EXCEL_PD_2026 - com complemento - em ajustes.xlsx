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/>
  <mc:AlternateContent xmlns:mc="http://schemas.openxmlformats.org/markup-compatibility/2006">
    <mc:Choice Requires="x15">
      <x15ac:absPath xmlns:x15ac="http://schemas.microsoft.com/office/spreadsheetml/2010/11/ac" url="C:\Users\Vinicius\Desktop\scraa\"/>
    </mc:Choice>
  </mc:AlternateContent>
  <xr:revisionPtr revIDLastSave="0" documentId="13_ncr:1_{D44310F1-2DD8-450F-8EBD-E8540C94BDC2}" xr6:coauthVersionLast="47" xr6:coauthVersionMax="47" xr10:uidLastSave="{00000000-0000-0000-0000-000000000000}"/>
  <bookViews>
    <workbookView xWindow="-120" yWindow="-120" windowWidth="20730" windowHeight="11040" tabRatio="601" firstSheet="2" activeTab="2" xr2:uid="{00000000-000D-0000-FFFF-FFFF00000000}"/>
  </bookViews>
  <sheets>
    <sheet name="METAS AMBULATORIAIS " sheetId="2" r:id="rId1"/>
    <sheet name="Planilha1" sheetId="9" r:id="rId2"/>
    <sheet name="METAS HOSPITALARES+INTERNAÇÕES" sheetId="3" r:id="rId3"/>
    <sheet name="INCENTIVOS " sheetId="6" r:id="rId4"/>
    <sheet name="GERAL FISICO " sheetId="4" r:id="rId5"/>
    <sheet name="GERAL FINANCEIRO " sheetId="5" r:id="rId6"/>
    <sheet name="INDICADORES DE QUALIDADE " sheetId="8" r:id="rId7"/>
  </sheets>
  <definedNames>
    <definedName name="_xlnm._FilterDatabase" localSheetId="0" hidden="1">'METAS AMBULATORIAIS '!$A$4:$I$64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H27" i="3" s="1"/>
  <c r="B12" i="3"/>
  <c r="H132" i="2"/>
  <c r="I132" i="2" s="1"/>
  <c r="F132" i="2"/>
  <c r="H114" i="2"/>
  <c r="I114" i="2" s="1"/>
  <c r="F114" i="2"/>
  <c r="H96" i="2"/>
  <c r="I96" i="2" s="1"/>
  <c r="F96" i="2"/>
  <c r="B9" i="4"/>
  <c r="C9" i="4" s="1"/>
  <c r="E137" i="2"/>
  <c r="F137" i="2" s="1"/>
  <c r="E64" i="2"/>
  <c r="H63" i="2"/>
  <c r="I63" i="2" s="1"/>
  <c r="F63" i="2"/>
  <c r="H62" i="2"/>
  <c r="I62" i="2" s="1"/>
  <c r="F62" i="2"/>
  <c r="H61" i="2"/>
  <c r="I61" i="2" s="1"/>
  <c r="F61" i="2"/>
  <c r="H60" i="2"/>
  <c r="I60" i="2" s="1"/>
  <c r="F60" i="2"/>
  <c r="H59" i="2"/>
  <c r="I59" i="2" s="1"/>
  <c r="F59" i="2"/>
  <c r="H58" i="2"/>
  <c r="I58" i="2" s="1"/>
  <c r="F58" i="2"/>
  <c r="H57" i="2"/>
  <c r="I57" i="2" s="1"/>
  <c r="F57" i="2"/>
  <c r="H56" i="2"/>
  <c r="I56" i="2" s="1"/>
  <c r="F56" i="2"/>
  <c r="H55" i="2"/>
  <c r="I55" i="2" s="1"/>
  <c r="F55" i="2"/>
  <c r="H54" i="2"/>
  <c r="I54" i="2" s="1"/>
  <c r="F54" i="2"/>
  <c r="H53" i="2"/>
  <c r="I53" i="2" s="1"/>
  <c r="F53" i="2"/>
  <c r="H52" i="2"/>
  <c r="I52" i="2" s="1"/>
  <c r="F52" i="2"/>
  <c r="H51" i="2"/>
  <c r="I51" i="2" s="1"/>
  <c r="F51" i="2"/>
  <c r="H50" i="2"/>
  <c r="I50" i="2" s="1"/>
  <c r="F50" i="2"/>
  <c r="H49" i="2"/>
  <c r="I49" i="2" s="1"/>
  <c r="F49" i="2"/>
  <c r="H48" i="2"/>
  <c r="I48" i="2" s="1"/>
  <c r="F48" i="2"/>
  <c r="H47" i="2"/>
  <c r="I47" i="2" s="1"/>
  <c r="F47" i="2"/>
  <c r="H46" i="2"/>
  <c r="I46" i="2" s="1"/>
  <c r="F46" i="2"/>
  <c r="H45" i="2"/>
  <c r="I45" i="2" s="1"/>
  <c r="F45" i="2"/>
  <c r="H44" i="2"/>
  <c r="I44" i="2" s="1"/>
  <c r="F44" i="2"/>
  <c r="H43" i="2"/>
  <c r="I43" i="2" s="1"/>
  <c r="F43" i="2"/>
  <c r="H42" i="2"/>
  <c r="I42" i="2" s="1"/>
  <c r="F42" i="2"/>
  <c r="H41" i="2"/>
  <c r="I41" i="2" s="1"/>
  <c r="F41" i="2"/>
  <c r="H40" i="2"/>
  <c r="I40" i="2" s="1"/>
  <c r="F40" i="2"/>
  <c r="H39" i="2"/>
  <c r="I39" i="2" s="1"/>
  <c r="F39" i="2"/>
  <c r="H38" i="2"/>
  <c r="I38" i="2" s="1"/>
  <c r="F38" i="2"/>
  <c r="H37" i="2"/>
  <c r="I37" i="2" s="1"/>
  <c r="F37" i="2"/>
  <c r="H36" i="2"/>
  <c r="I36" i="2" s="1"/>
  <c r="F36" i="2"/>
  <c r="H35" i="2"/>
  <c r="I35" i="2" s="1"/>
  <c r="F35" i="2"/>
  <c r="H34" i="2"/>
  <c r="I34" i="2" s="1"/>
  <c r="F34" i="2"/>
  <c r="H33" i="2"/>
  <c r="I33" i="2" s="1"/>
  <c r="F33" i="2"/>
  <c r="H32" i="2"/>
  <c r="I32" i="2" s="1"/>
  <c r="F32" i="2"/>
  <c r="H31" i="2"/>
  <c r="I31" i="2" s="1"/>
  <c r="F31" i="2"/>
  <c r="H30" i="2"/>
  <c r="I30" i="2" s="1"/>
  <c r="F30" i="2"/>
  <c r="H29" i="2"/>
  <c r="I29" i="2" s="1"/>
  <c r="F29" i="2"/>
  <c r="H28" i="2"/>
  <c r="I28" i="2" s="1"/>
  <c r="F28" i="2"/>
  <c r="H27" i="2"/>
  <c r="I27" i="2" s="1"/>
  <c r="F27" i="2"/>
  <c r="H26" i="2"/>
  <c r="I26" i="2" s="1"/>
  <c r="F26" i="2"/>
  <c r="H25" i="2"/>
  <c r="I25" i="2" s="1"/>
  <c r="F25" i="2"/>
  <c r="H24" i="2"/>
  <c r="I24" i="2" s="1"/>
  <c r="F24" i="2"/>
  <c r="H23" i="2"/>
  <c r="I23" i="2" s="1"/>
  <c r="F23" i="2"/>
  <c r="H22" i="2"/>
  <c r="I22" i="2" s="1"/>
  <c r="F22" i="2"/>
  <c r="H21" i="2"/>
  <c r="I21" i="2" s="1"/>
  <c r="F21" i="2"/>
  <c r="H20" i="2"/>
  <c r="I20" i="2" s="1"/>
  <c r="F20" i="2"/>
  <c r="H19" i="2"/>
  <c r="I19" i="2" s="1"/>
  <c r="F19" i="2"/>
  <c r="H18" i="2"/>
  <c r="I18" i="2" s="1"/>
  <c r="F18" i="2"/>
  <c r="H17" i="2"/>
  <c r="I17" i="2" s="1"/>
  <c r="F17" i="2"/>
  <c r="H16" i="2"/>
  <c r="I16" i="2" s="1"/>
  <c r="F16" i="2"/>
  <c r="H15" i="2"/>
  <c r="I15" i="2" s="1"/>
  <c r="F15" i="2"/>
  <c r="H14" i="2"/>
  <c r="I14" i="2" s="1"/>
  <c r="F14" i="2"/>
  <c r="H13" i="2"/>
  <c r="I13" i="2" s="1"/>
  <c r="F13" i="2"/>
  <c r="H12" i="2"/>
  <c r="I12" i="2" s="1"/>
  <c r="F12" i="2"/>
  <c r="H11" i="2"/>
  <c r="I11" i="2" s="1"/>
  <c r="F11" i="2"/>
  <c r="H10" i="2"/>
  <c r="I10" i="2" s="1"/>
  <c r="F10" i="2"/>
  <c r="H9" i="2"/>
  <c r="I9" i="2" s="1"/>
  <c r="F9" i="2"/>
  <c r="H8" i="2"/>
  <c r="I8" i="2" s="1"/>
  <c r="F8" i="2"/>
  <c r="H7" i="2"/>
  <c r="I7" i="2" s="1"/>
  <c r="F7" i="2"/>
  <c r="H6" i="2"/>
  <c r="F6" i="2"/>
  <c r="B14" i="5" l="1"/>
  <c r="C14" i="5" s="1"/>
  <c r="E148" i="2"/>
  <c r="B13" i="5"/>
  <c r="C13" i="5" s="1"/>
  <c r="C15" i="5" s="1"/>
  <c r="F64" i="2"/>
  <c r="H64" i="2"/>
  <c r="I6" i="2"/>
  <c r="I64" i="2" s="1"/>
  <c r="B15" i="5" l="1"/>
  <c r="F148" i="2"/>
  <c r="B4" i="4"/>
  <c r="A67" i="2"/>
  <c r="F68" i="2"/>
  <c r="H68" i="2"/>
  <c r="I68" i="2" s="1"/>
  <c r="F69" i="2"/>
  <c r="H69" i="2"/>
  <c r="E70" i="2"/>
  <c r="A75" i="2"/>
  <c r="F76" i="2"/>
  <c r="F77" i="2" s="1"/>
  <c r="H76" i="2"/>
  <c r="I76" i="2" s="1"/>
  <c r="I77" i="2" s="1"/>
  <c r="E77" i="2"/>
  <c r="A80" i="2"/>
  <c r="F81" i="2"/>
  <c r="H81" i="2"/>
  <c r="I81" i="2" s="1"/>
  <c r="F82" i="2"/>
  <c r="H82" i="2"/>
  <c r="I82" i="2" s="1"/>
  <c r="F83" i="2"/>
  <c r="H83" i="2"/>
  <c r="I83" i="2" s="1"/>
  <c r="F84" i="2"/>
  <c r="H84" i="2"/>
  <c r="I84" i="2" s="1"/>
  <c r="F85" i="2"/>
  <c r="H85" i="2"/>
  <c r="I85" i="2" s="1"/>
  <c r="F86" i="2"/>
  <c r="H86" i="2"/>
  <c r="I86" i="2" s="1"/>
  <c r="F87" i="2"/>
  <c r="H87" i="2"/>
  <c r="I87" i="2" s="1"/>
  <c r="F88" i="2"/>
  <c r="H88" i="2"/>
  <c r="I88" i="2" s="1"/>
  <c r="F89" i="2"/>
  <c r="H89" i="2"/>
  <c r="I89" i="2" s="1"/>
  <c r="F90" i="2"/>
  <c r="H90" i="2"/>
  <c r="I90" i="2" s="1"/>
  <c r="F91" i="2"/>
  <c r="H91" i="2"/>
  <c r="I91" i="2" s="1"/>
  <c r="F92" i="2"/>
  <c r="H92" i="2"/>
  <c r="I92" i="2" s="1"/>
  <c r="F93" i="2"/>
  <c r="H93" i="2"/>
  <c r="I93" i="2" s="1"/>
  <c r="E94" i="2"/>
  <c r="A99" i="2"/>
  <c r="F100" i="2"/>
  <c r="H100" i="2"/>
  <c r="I100" i="2" s="1"/>
  <c r="F101" i="2"/>
  <c r="H101" i="2"/>
  <c r="I101" i="2" s="1"/>
  <c r="F102" i="2"/>
  <c r="H102" i="2"/>
  <c r="I102" i="2" s="1"/>
  <c r="F103" i="2"/>
  <c r="H103" i="2"/>
  <c r="I103" i="2" s="1"/>
  <c r="F104" i="2"/>
  <c r="H104" i="2"/>
  <c r="I104" i="2" s="1"/>
  <c r="F105" i="2"/>
  <c r="H105" i="2"/>
  <c r="I105" i="2" s="1"/>
  <c r="F106" i="2"/>
  <c r="H106" i="2"/>
  <c r="I106" i="2" s="1"/>
  <c r="F107" i="2"/>
  <c r="H107" i="2"/>
  <c r="I107" i="2" s="1"/>
  <c r="F108" i="2"/>
  <c r="H108" i="2"/>
  <c r="I108" i="2" s="1"/>
  <c r="F109" i="2"/>
  <c r="H109" i="2"/>
  <c r="I109" i="2" s="1"/>
  <c r="F110" i="2"/>
  <c r="H110" i="2"/>
  <c r="I110" i="2" s="1"/>
  <c r="F111" i="2"/>
  <c r="H111" i="2"/>
  <c r="I111" i="2" s="1"/>
  <c r="E112" i="2"/>
  <c r="A118" i="2"/>
  <c r="F119" i="2"/>
  <c r="H119" i="2"/>
  <c r="I119" i="2" s="1"/>
  <c r="F120" i="2"/>
  <c r="H120" i="2"/>
  <c r="I120" i="2" s="1"/>
  <c r="E121" i="2"/>
  <c r="A124" i="2"/>
  <c r="F125" i="2"/>
  <c r="H125" i="2"/>
  <c r="I125" i="2" s="1"/>
  <c r="F126" i="2"/>
  <c r="H126" i="2"/>
  <c r="I126" i="2" s="1"/>
  <c r="F127" i="2"/>
  <c r="H127" i="2"/>
  <c r="I127" i="2" s="1"/>
  <c r="F128" i="2"/>
  <c r="H128" i="2"/>
  <c r="I128" i="2" s="1"/>
  <c r="E129" i="2"/>
  <c r="A136" i="2"/>
  <c r="F138" i="2"/>
  <c r="H138" i="2"/>
  <c r="I138" i="2" s="1"/>
  <c r="B5" i="4" l="1"/>
  <c r="C5" i="4" s="1"/>
  <c r="E130" i="2"/>
  <c r="F130" i="2" s="1"/>
  <c r="C4" i="4"/>
  <c r="I69" i="2"/>
  <c r="I70" i="2" s="1"/>
  <c r="F129" i="2"/>
  <c r="F121" i="2"/>
  <c r="H77" i="2"/>
  <c r="H137" i="2"/>
  <c r="H121" i="2"/>
  <c r="H70" i="2"/>
  <c r="F70" i="2"/>
  <c r="F112" i="2"/>
  <c r="F94" i="2"/>
  <c r="I112" i="2"/>
  <c r="I94" i="2"/>
  <c r="I129" i="2"/>
  <c r="I121" i="2"/>
  <c r="H129" i="2"/>
  <c r="H112" i="2"/>
  <c r="H94" i="2"/>
  <c r="B5" i="5" s="1"/>
  <c r="C5" i="5" s="1"/>
  <c r="H130" i="2" l="1"/>
  <c r="I130" i="2" s="1"/>
  <c r="I137" i="2"/>
  <c r="B6" i="4"/>
  <c r="C6" i="4" s="1"/>
  <c r="C10" i="6" l="1"/>
  <c r="C12" i="6" s="1"/>
  <c r="B11" i="5" s="1"/>
  <c r="F18" i="3"/>
  <c r="D18" i="3"/>
  <c r="B8" i="4" s="1"/>
  <c r="C8" i="4" s="1"/>
  <c r="G17" i="3"/>
  <c r="H17" i="3" s="1"/>
  <c r="E17" i="3"/>
  <c r="G16" i="3"/>
  <c r="H16" i="3" s="1"/>
  <c r="E16" i="3"/>
  <c r="G15" i="3"/>
  <c r="E15" i="3"/>
  <c r="G24" i="3"/>
  <c r="G25" i="3" s="1"/>
  <c r="D9" i="3"/>
  <c r="D6" i="6"/>
  <c r="D7" i="6"/>
  <c r="D8" i="6"/>
  <c r="D9" i="6"/>
  <c r="D11" i="6"/>
  <c r="D5" i="6"/>
  <c r="C11" i="5" l="1"/>
  <c r="B12" i="5"/>
  <c r="C12" i="5" s="1"/>
  <c r="B7" i="4"/>
  <c r="H25" i="3"/>
  <c r="B8" i="5"/>
  <c r="C8" i="5" s="1"/>
  <c r="E18" i="3"/>
  <c r="G18" i="3"/>
  <c r="B9" i="5" s="1"/>
  <c r="C9" i="5" s="1"/>
  <c r="H15" i="3"/>
  <c r="H24" i="3"/>
  <c r="D10" i="6"/>
  <c r="D12" i="6" s="1"/>
  <c r="G6" i="3"/>
  <c r="H6" i="3" s="1"/>
  <c r="G7" i="3"/>
  <c r="H7" i="3" s="1"/>
  <c r="G8" i="3"/>
  <c r="H8" i="3" s="1"/>
  <c r="G5" i="3"/>
  <c r="E6" i="3"/>
  <c r="E7" i="3"/>
  <c r="E8" i="3"/>
  <c r="E5" i="3"/>
  <c r="B10" i="4" l="1"/>
  <c r="C10" i="4" s="1"/>
  <c r="C7" i="4"/>
  <c r="H5" i="3"/>
  <c r="G9" i="3"/>
  <c r="B7" i="5" s="1"/>
  <c r="H18" i="3"/>
  <c r="E9" i="3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E146" i="2"/>
  <c r="H146" i="2" s="1"/>
  <c r="I146" i="2" s="1"/>
  <c r="F139" i="2"/>
  <c r="F140" i="2"/>
  <c r="F141" i="2"/>
  <c r="F142" i="2"/>
  <c r="F143" i="2"/>
  <c r="F144" i="2"/>
  <c r="B10" i="5" l="1"/>
  <c r="C7" i="5"/>
  <c r="H9" i="3"/>
  <c r="F146" i="2"/>
  <c r="C10" i="5" l="1"/>
  <c r="A5" i="2"/>
  <c r="B11" i="4" l="1"/>
  <c r="C11" i="4" s="1"/>
  <c r="E149" i="2"/>
  <c r="H145" i="2"/>
  <c r="I145" i="2" s="1"/>
  <c r="H147" i="2"/>
  <c r="I147" i="2" l="1"/>
  <c r="H148" i="2"/>
  <c r="B4" i="5" s="1"/>
  <c r="F145" i="2"/>
  <c r="F147" i="2"/>
  <c r="C4" i="5" l="1"/>
  <c r="B6" i="5"/>
  <c r="H149" i="2"/>
  <c r="I148" i="2"/>
  <c r="C6" i="5" l="1"/>
  <c r="B16" i="5"/>
  <c r="C16" i="5" s="1"/>
  <c r="I149" i="2"/>
  <c r="F149" i="2"/>
</calcChain>
</file>

<file path=xl/sharedStrings.xml><?xml version="1.0" encoding="utf-8"?>
<sst xmlns="http://schemas.openxmlformats.org/spreadsheetml/2006/main" count="554" uniqueCount="275">
  <si>
    <t>SANTA CASA DE MISERICÓRDIA DO MARANHÃO  CNES  2456959
METAS AMBULATORIAIS  2026</t>
  </si>
  <si>
    <t>CÓDIGOS</t>
  </si>
  <si>
    <t>DESCRIÇÃO DOS PROCEDIMENTOS</t>
  </si>
  <si>
    <t>COMPLEXIDADE</t>
  </si>
  <si>
    <t>TIPO
 DE FINANCIAMENTO</t>
  </si>
  <si>
    <t>META FÍSICA ESTIMADA</t>
  </si>
  <si>
    <t xml:space="preserve">TABELA SUS </t>
  </si>
  <si>
    <t>META FINANCEIRA ESTIMADA</t>
  </si>
  <si>
    <t>MENSAL</t>
  </si>
  <si>
    <t>ANUAL</t>
  </si>
  <si>
    <t>GRUPO  02 PROCEDIMENTOS COM FINALIDADE DIAGNÓSTICA</t>
  </si>
  <si>
    <t>DOSAGEM DE ACIDO URICO</t>
  </si>
  <si>
    <t>MC</t>
  </si>
  <si>
    <t>MAC</t>
  </si>
  <si>
    <t>DOSAGEM DE AMILASE</t>
  </si>
  <si>
    <t>DOSAGEM DE BILIRRUBINA TOTAL E FRACOES</t>
  </si>
  <si>
    <t>DOSAGEM DE CALCIO</t>
  </si>
  <si>
    <t>DOSAGEM DE CLORETO</t>
  </si>
  <si>
    <t>DOSAGEM DE COLESTEROL HDL</t>
  </si>
  <si>
    <t>DOSAGEM DE COLESTEROL LDL</t>
  </si>
  <si>
    <t>DOSAGEM DE COLESTEROL TOTAL</t>
  </si>
  <si>
    <t>DOSAGEM DE CREATININA</t>
  </si>
  <si>
    <t>DOSAGEM DE CREATINOFOSFOQUINASE (CPK)</t>
  </si>
  <si>
    <t>DOSAGEM DE FERRITINA</t>
  </si>
  <si>
    <t>DOSAGEM DE FERRO SERICO</t>
  </si>
  <si>
    <t>DOSAGEM DE FOSFORO</t>
  </si>
  <si>
    <t>DOSAGEM DE GAMAGLUTAMILTRANSFERASE (GAMA GT)</t>
  </si>
  <si>
    <t>DOSAGEM DE GLICOSE</t>
  </si>
  <si>
    <t>DOSAGEM DE HEMOGLOBINA GLICOSILADA</t>
  </si>
  <si>
    <t>DOSAGEM DE LIPASE</t>
  </si>
  <si>
    <t>DOSAGEM DE MAGNESIO</t>
  </si>
  <si>
    <t>DOSAGEM DE POTASSIO</t>
  </si>
  <si>
    <t>DOSAGEM DE SODIO</t>
  </si>
  <si>
    <t>DOSAGEM DE TRANSAMINASE GLUTAMICOOXALACETICA (TGO)</t>
  </si>
  <si>
    <t>DOSAGEM DE TRANSAMINASE GLUTAMICOPIRUVICA (TGP)</t>
  </si>
  <si>
    <t>DOSAGEM DE TRIGLICERIDEOS</t>
  </si>
  <si>
    <t>DOSAGEM DE UREIA</t>
  </si>
  <si>
    <t>DOSAGEM DE VITAMINA B12</t>
  </si>
  <si>
    <t>DOSAGEM DE 25 HIDROXIVITAMINA D</t>
  </si>
  <si>
    <t>DOSAGEM DE FOSFATASE ALCALINA</t>
  </si>
  <si>
    <t xml:space="preserve">CONTAGEM DE PLAQUETAS </t>
  </si>
  <si>
    <t>DETERMINAÇÃO DE TEMPO DE COAGULAÇÃO</t>
  </si>
  <si>
    <t>DETERMINAÇÃO DE TEMPO E ATIVIDADE DA PROTROMBINA (TAP)</t>
  </si>
  <si>
    <t>DETERMINAÇÃO DE VELOCIDADE DE HEMOSSEDIMENTAÇÃO (VHS)</t>
  </si>
  <si>
    <t>ERITROGRAMA (ERITROCITOS, HEMOGLOBINA, HEMATOCRITO)</t>
  </si>
  <si>
    <t>HEMATOCRITO</t>
  </si>
  <si>
    <t>HEMOGRAMA COMPLETO</t>
  </si>
  <si>
    <t>LEUCOGRAMA</t>
  </si>
  <si>
    <t xml:space="preserve">PESQUISA DE ANTICORPOS ANTIHIV1  HIV2 (ELISA)                                                    </t>
  </si>
  <si>
    <t>PESQUISA DE ANTICORPOS CONTRA O VIRUS DA HEPATITE C (ANTIHCV)</t>
  </si>
  <si>
    <t>DETERMINAÇÃO DE FATOR REUMATOIDE</t>
  </si>
  <si>
    <t>DETERMINAÇÃO QUANTITATIVA DE PROTEÍNA C REATIVA</t>
  </si>
  <si>
    <t>DOSAGEM DE ANTIGENO PROSTATICO ESPECIFICO (PSA)</t>
  </si>
  <si>
    <t>PESQUISA DE ANTICORPOS ANTIESTREPTOLISINA O (ASLO)</t>
  </si>
  <si>
    <t>TESTE NÃO TREPONEMICO P/ DETECÇÃO DE SIFILIS</t>
  </si>
  <si>
    <t>ANÁLISE DE CARACTERES FISICO E SEGMENTOS DA URINA</t>
  </si>
  <si>
    <t>DOSAGEM DE ESTRADIOL</t>
  </si>
  <si>
    <t>DOSAGEM DE GONADOTROFINA CORIONICA HUMANA (HCG, BETA HCG)</t>
  </si>
  <si>
    <t>DOSAGEM DE HORMONIO TIREOESTIMULANTE TSH</t>
  </si>
  <si>
    <t>DOSAGEM DE HORMONIO FOLICULOESTIMULANTE (FSH)</t>
  </si>
  <si>
    <t>DOSAGEM DE TIROXINA LIVRE (T4 LIVRE)</t>
  </si>
  <si>
    <t>DOSAGEM DE HORMONIO LUTEINIZANTE (LH)</t>
  </si>
  <si>
    <t>DOSAGEM DE INSULINA</t>
  </si>
  <si>
    <t>DOSAGEM DE PROGESTERONA</t>
  </si>
  <si>
    <t>DOSAGEM DE PROLACTINA</t>
  </si>
  <si>
    <t>DOSAGEM DE TESTOSTERONA</t>
  </si>
  <si>
    <t>DOSAGEM DE TESTOSTERONA LIVRE</t>
  </si>
  <si>
    <t>DOSAGEM DE TIROXINA (T4)</t>
  </si>
  <si>
    <t>DOSAGEM DE TRIIODOTIRONINA (T3)</t>
  </si>
  <si>
    <t>DETERMINACAO DIRETA E REVERSA DE GRUPO ABO</t>
  </si>
  <si>
    <t>PESQUISA DE FATOR RH (INCLUI D FRACO)</t>
  </si>
  <si>
    <t>TOTAL SUBGRUPO 02</t>
  </si>
  <si>
    <t>MAMOGRAFIA BILATERAL PARA RASTREAMENTO</t>
  </si>
  <si>
    <t>DENSITOMETRIA OSSEA DUOENERGETICA DE COLUNA (VERTEBRAS LOMBARES E/OU FEMUR)</t>
  </si>
  <si>
    <t>AC</t>
  </si>
  <si>
    <t>TOTAL SUBGRUPO 04</t>
  </si>
  <si>
    <t>ECOCARDIOGRAFIA TRANSTORACICA</t>
  </si>
  <si>
    <t>TOTAL SUBGRUPO 05</t>
  </si>
  <si>
    <t>TOMOGRAFIA COMPUTADORIZADA DE COLUNA CERVICAL C/ OU S/ CONTRASTE</t>
  </si>
  <si>
    <t>TOMOGRAFIA COMPUTADORIZADA DE COLUNA LOMBOSACRA C/ OU S/ CONTRASTE</t>
  </si>
  <si>
    <t>TOMOGRAFIA COMPUTADORIZADA DE COLUNA TORACICA C/ OU S/ CONTRASTE</t>
  </si>
  <si>
    <t>TOMOGRAFIA COMPUTADORIZADA DE FACE / SEIOS DA FACE / ARTICULACOES TEMPOROMANDIBULARES</t>
  </si>
  <si>
    <t>TOMOGRAFIA COMPUTADORIZADA DO PESCOCO</t>
  </si>
  <si>
    <t>TOMOGRAFIA COMPUTADORIZADA DE SELA TURCICA</t>
  </si>
  <si>
    <t>TOMOGRAFIA COMPUTADORIZADA DO CRANIO</t>
  </si>
  <si>
    <t>TOMOGRAFIA COMPUTADORIZADA DE ARTICULACOES DE MEMBRO SUPERIOR</t>
  </si>
  <si>
    <t>TOMOGRAFIA COMPUTADORIZADA DE SEGMENTOS APENDICULARES  (BRACO, ANTEBRAÇO, MÃO, COXA, PERNA, PÉ)</t>
  </si>
  <si>
    <t>TOMOGRAFIA COMPUTADORIZADA DE TORAX</t>
  </si>
  <si>
    <t>TOMOGRAFIA COMPUTADORIZADA DE ABDOMEN SUPERIOR</t>
  </si>
  <si>
    <t>TOMOGRAFIA COMPUTADORIZADA DE ARTICULACOES DE MEMBRO INFERIOR</t>
  </si>
  <si>
    <t>TOMOGRAFIA COMPUTADORIZADA DE PELVE / BACIA / ABDOMEN INFERIOR</t>
  </si>
  <si>
    <t>TOTAL SUBGRUPO 06</t>
  </si>
  <si>
    <t xml:space="preserve">COMPLEMENTO CONTRASTE: 30% DO TOTAL DE EXAMES REALIZADOS </t>
  </si>
  <si>
    <t xml:space="preserve">TESOURO </t>
  </si>
  <si>
    <t>ANGIORESSONANCIA CEREBRAL</t>
  </si>
  <si>
    <t>RESSONANCIA MAGNETICA DE ARTICULACAO TEMPOROMANDIBULAR (BILATERAL)</t>
  </si>
  <si>
    <t>RESSONANCIA MAGNETICA DE COLUNA CERVICAL/PESCOÇO</t>
  </si>
  <si>
    <t>RESSONANCIA MAGNETICA DE COLUNA LOMBOSACRA</t>
  </si>
  <si>
    <t>RESSONANCIA MAGNETICA DE COLUNA TORACICA</t>
  </si>
  <si>
    <t>RESSONANCIA MAGNETICA DE CRANIO</t>
  </si>
  <si>
    <t>RESSONANCIA MAGNETICA DE SELA TURCICA</t>
  </si>
  <si>
    <t>RESSONANCIA MAGNETICA DE MEMBRO SUPERIOR (UNILATERAL)</t>
  </si>
  <si>
    <t>RESSONANCIA MAGNETICA DE TORAX</t>
  </si>
  <si>
    <t>RESSONANCIA MAGNETICA DE ABDOMEN SUPERIOR</t>
  </si>
  <si>
    <t>RESSONANCIA MAGNETICA DE MEMBRO INFERIOR (UNILATERAL)</t>
  </si>
  <si>
    <t>RESSONANCIA MAGNETICA DE BACIA / PELVE / ABDOMEN INFERIOR</t>
  </si>
  <si>
    <t>TOTAL SUBGRUPO 07</t>
  </si>
  <si>
    <t>TESOURO</t>
  </si>
  <si>
    <t>ARTERIOGRAFIA DE MEMBRO</t>
  </si>
  <si>
    <t>ARTERIOGRAFIA SELETIVA POR CATETER (POR VASO)</t>
  </si>
  <si>
    <t>TOTAL SUBGRUPO 10</t>
  </si>
  <si>
    <t>ELETROCARDIOGRAMA</t>
  </si>
  <si>
    <t>CATETERISMO CARDIACO</t>
  </si>
  <si>
    <t>MONITORAMENTO PELO SISTEMA HOLTER 24 HS (3 CANAIS)</t>
  </si>
  <si>
    <t>TESTE DE ESFORCO / TESTE ERGOMETRICO</t>
  </si>
  <si>
    <t>TOTAL SUBGRUPO 11</t>
  </si>
  <si>
    <t>TOTAL GERAL DO GRUPO 02</t>
  </si>
  <si>
    <t xml:space="preserve">COMPLEMENTO CATETERISMO </t>
  </si>
  <si>
    <t>GRUPO  02 PROCEDIMENTOS CLÍNICOS</t>
  </si>
  <si>
    <t>CONSULTA MEDICA EM ATENÇÃO ESPECIALIZADA</t>
  </si>
  <si>
    <t>Consulta medico Clínico</t>
  </si>
  <si>
    <t>Consulta em Cardiologia(ADULTO)</t>
  </si>
  <si>
    <t>Consulta em Cirurgia Geral (ADULTO)</t>
  </si>
  <si>
    <t>Consulta em Ginecologia e Obstetícia</t>
  </si>
  <si>
    <t>Consulta em Cirurgia Plastica</t>
  </si>
  <si>
    <t>Consulta Urologia (ADULTO)</t>
  </si>
  <si>
    <t>Consulta em Ortopedia (ADULTO)</t>
  </si>
  <si>
    <t>ATENDIMENTO DE URGENCIA EM ATENCAO ESPECIALIZADA</t>
  </si>
  <si>
    <t xml:space="preserve">Atendimento em Urgência Obstétrica </t>
  </si>
  <si>
    <t>CONSULTA DE PROFISSIONAIS DE NIVEL SUPERIOR NA ATENÇÃO ESPECIALIZADA (EXCETO MÉDICO)</t>
  </si>
  <si>
    <t>Coluna</t>
  </si>
  <si>
    <t>ID</t>
  </si>
  <si>
    <t>Código Procedimento</t>
  </si>
  <si>
    <t>Procedimento</t>
  </si>
  <si>
    <t>Grupo</t>
  </si>
  <si>
    <t>Subgrupo</t>
  </si>
  <si>
    <t>Complexidade</t>
  </si>
  <si>
    <t>Tipo Financiamento</t>
  </si>
  <si>
    <t>Meta Física Mensal</t>
  </si>
  <si>
    <t>Meta Física Anual</t>
  </si>
  <si>
    <t>Valor SUS</t>
  </si>
  <si>
    <t>Meta Financeira Mensal</t>
  </si>
  <si>
    <t>Meta Financeira Anual</t>
  </si>
  <si>
    <t>Ano</t>
  </si>
  <si>
    <t>Situação</t>
  </si>
  <si>
    <t>Observações</t>
  </si>
  <si>
    <t>SANTA CASA DE MISERICÓRDIA DO MARANHÃO  CNES  2456959
METAS HOSPITALARES   2025</t>
  </si>
  <si>
    <t>CUSTO 
MÉDIO</t>
  </si>
  <si>
    <t xml:space="preserve">Cirúrgico </t>
  </si>
  <si>
    <t>Angioplastia com 1 stent</t>
  </si>
  <si>
    <t>Angioplastia com 2 stent</t>
  </si>
  <si>
    <t xml:space="preserve">Angioplastia com balão </t>
  </si>
  <si>
    <t xml:space="preserve">AC </t>
  </si>
  <si>
    <t>Angioplastia Ambulatorial</t>
  </si>
  <si>
    <t xml:space="preserve">TOTAL GERAL METAS HOSPITALARES MAC </t>
  </si>
  <si>
    <t xml:space="preserve">Internação </t>
  </si>
  <si>
    <t xml:space="preserve">Cirurgico </t>
  </si>
  <si>
    <t>Obstétrico</t>
  </si>
  <si>
    <t>Clínico</t>
  </si>
  <si>
    <t>Cirúrgico</t>
  </si>
  <si>
    <t xml:space="preserve">Revascularização do Miocardio </t>
  </si>
  <si>
    <t xml:space="preserve">FAEC </t>
  </si>
  <si>
    <t xml:space="preserve">TOTAL GERAL METAS HOSPITALARES FAEC </t>
  </si>
  <si>
    <t xml:space="preserve">COMPLENTO CIRÚRGICO - REVASCULARIZAÇÃO MIOCARDIO </t>
  </si>
  <si>
    <t>* Diarias inclusas nos procedimentos</t>
  </si>
  <si>
    <t xml:space="preserve">SANTA CASA DE MISERICÓRDIA DO MARANHÃO  CNES  2456959
INCENTIVOS </t>
  </si>
  <si>
    <t>INCENTIVOS - RECURSOS SUS 2025</t>
  </si>
  <si>
    <t>Portaria</t>
  </si>
  <si>
    <t>Tipo Incentivo</t>
  </si>
  <si>
    <t xml:space="preserve"> Mês</t>
  </si>
  <si>
    <t>Portaria  GM Nº 719 de 4 de Abril de 2007</t>
  </si>
  <si>
    <t>HOSPITAIS FILANTRÓPICOS IAC</t>
  </si>
  <si>
    <t>Portaria  GM Nº 3130 de 24 de Dezembro de 2008</t>
  </si>
  <si>
    <t>Portaria  GM Nº 2506 de 26 de Outubro de 2011</t>
  </si>
  <si>
    <r>
      <t>Portaria  GM Nº 1416 de 6 de Julho de 2012</t>
    </r>
    <r>
      <rPr>
        <sz val="11"/>
        <color theme="1"/>
        <rFont val="Calibri"/>
        <family val="2"/>
        <scheme val="minor"/>
      </rPr>
      <t/>
    </r>
  </si>
  <si>
    <t>Portaria  GM Nº 3172 de 28 de dezembro de 2012</t>
  </si>
  <si>
    <t xml:space="preserve">Sub Total Hospitais Filantropicos </t>
  </si>
  <si>
    <t xml:space="preserve">INTEGRASUS </t>
  </si>
  <si>
    <t>Total dos Incentivos</t>
  </si>
  <si>
    <t xml:space="preserve">SANTA CASA DE MISERICÓRDIA DO MARANHÃO  CNES  2456959
</t>
  </si>
  <si>
    <t xml:space="preserve">QUADRO GERAL FISICO NOVO CONVÊNIO </t>
  </si>
  <si>
    <t>DESCRIÇÃO</t>
  </si>
  <si>
    <t>MÊS</t>
  </si>
  <si>
    <t>ANO</t>
  </si>
  <si>
    <t>METAS AMBULATORIAIS - MC  (MAC)</t>
  </si>
  <si>
    <t>METAS AMBULATORIAIS - AC (MAC)</t>
  </si>
  <si>
    <t>Subtotal Ambulatorial</t>
  </si>
  <si>
    <t xml:space="preserve">METAS HOSPITALARES - AC (MAC) - Cirúrgico </t>
  </si>
  <si>
    <t xml:space="preserve">METAS HOSPITALARES - MC (MAC) - Internações </t>
  </si>
  <si>
    <t xml:space="preserve">METAS HOSPITALARES - AC (FAEC) - Cirúrgico </t>
  </si>
  <si>
    <t>Subtotal Hospitalar</t>
  </si>
  <si>
    <t>Total (Ambulatorial + Hospitalar)</t>
  </si>
  <si>
    <t xml:space="preserve">QUADRO GERAL FINANCEIRO NOVO CONVÊNIO </t>
  </si>
  <si>
    <t>METAS AMBULATORIAIS - MC (MAC)</t>
  </si>
  <si>
    <t xml:space="preserve">METAS HOSPITALARES - MC (MAC) - Internação </t>
  </si>
  <si>
    <t>INCENTIVOS IAC + INTEGRASUS</t>
  </si>
  <si>
    <t xml:space="preserve">Total Geral Incentivos </t>
  </si>
  <si>
    <t xml:space="preserve">RECURSO TESOURO METAS AMBULATORIAIS </t>
  </si>
  <si>
    <t xml:space="preserve">RECURSO TESOURO METAS HOSPITALARES </t>
  </si>
  <si>
    <t xml:space="preserve">Total Recurso Tesouro </t>
  </si>
  <si>
    <t xml:space="preserve">TOTAL GERAL </t>
  </si>
  <si>
    <t>OBS: Os recursos do Tesouro correspondem ao acréscimo necessário para a cobertura do uso de contraste em exames, considerando que aproximadamente 30% dos exames de imagem demandam a sua utilização. O recurso também contemplará os procedimentos cirúrgicos de revascularização. Destaca-se que é necessário o incremento com recurso do Tesouro para custear tanto a utilização do contraste quanto a realização dos procedimentos cirúrgicos de revascularização.</t>
  </si>
  <si>
    <t xml:space="preserve">SANTA CASA DE MISERICÓRDIA DO MARANHÃO  CNES  2456959                                           INDICADORES DE QUALIDADE 
</t>
  </si>
  <si>
    <t>Indicador</t>
  </si>
  <si>
    <t>Responsável</t>
  </si>
  <si>
    <t xml:space="preserve">Objetivo </t>
  </si>
  <si>
    <t>Fórmula</t>
  </si>
  <si>
    <t xml:space="preserve">Meta </t>
  </si>
  <si>
    <t>Evidências para envio à CAC</t>
  </si>
  <si>
    <t>Pontuação mês</t>
  </si>
  <si>
    <t>Produção laboratorial - Global</t>
  </si>
  <si>
    <t>Laboratório + setor Financeiro</t>
  </si>
  <si>
    <t>Monitorar o volume total de exames laboratoriais realizados, garantindo coerência entre a demanda assistencial, capacidade instalada e contratualização.</t>
  </si>
  <si>
    <t>Total de exames laboratoriais realizados no mês</t>
  </si>
  <si>
    <t>Manter tendência estável ou crescente conforme demanda assistencial e pactuação contratual, com variação ≤ 10% ao mês.</t>
  </si>
  <si>
    <t>Relatório de Produção SADT (BPA/SAI/SIH-SUS) + VIVER</t>
  </si>
  <si>
    <t>Considera-se a soma de todos os procedimentos laboratoriais registrados no BPA/SIA-SUS.</t>
  </si>
  <si>
    <t>Produção SADT - Global</t>
  </si>
  <si>
    <t>SADT + setor Financeiro</t>
  </si>
  <si>
    <t>Monitorar o volume de procedimentos diagnósticos e terapêuticos realizados no período, assegurando cobertura assistencial e planejamento de fila.</t>
  </si>
  <si>
    <t>Total de procedimentos/exames SADT realizados no mês</t>
  </si>
  <si>
    <t>Manter produção compatível com planejamento assistencial e contratualização, com variabilidade controlada (≤ 10% mês/mês).</t>
  </si>
  <si>
    <t>Inclui todos os procedimentos registrados no BPA/SIA-SUS provenientes de serviços de diagnóstico e terapêutica.</t>
  </si>
  <si>
    <t>Produção ambulatorial - Global</t>
  </si>
  <si>
    <t>Coordenação Ambulatorial + setor Financeiro</t>
  </si>
  <si>
    <t>Acompanhar a produção ambulatorial total, garantindo acesso regulado, continuidade do cuidado e equilíbrio entre oferta e demanda.</t>
  </si>
  <si>
    <t>Total de consultas/atendimentos ambulatoriais realizados no mês.</t>
  </si>
  <si>
    <t>Manter volume conforme pactuação e carteira de serviços, com acompanhamento de tendência mensal.</t>
  </si>
  <si>
    <t>Relatórios de Produção Ambulatorial (BPA/SIA-SUS) + VIVER</t>
  </si>
  <si>
    <t>Soma dos atendimentos ambulatoriais consolidados no BPA e exportados pelo SIA-SUS.</t>
  </si>
  <si>
    <t>Regulação de Leitos</t>
  </si>
  <si>
    <t>NIR / Coordenação de Leitos</t>
  </si>
  <si>
    <t>Garantir alocação eficiente de leitos entre a solicitação e a resposta.</t>
  </si>
  <si>
    <t>Tempo médio  (horas)</t>
  </si>
  <si>
    <t>&lt; 2horas</t>
  </si>
  <si>
    <t>Relatórios + VIVER</t>
  </si>
  <si>
    <t>Taxa de Ocupação de Leitos GLOBAL</t>
  </si>
  <si>
    <t>NIR</t>
  </si>
  <si>
    <t>Garantir uso adequado da capacidade instalada.</t>
  </si>
  <si>
    <t>Pacientes-dia / leitos-dia × 100</t>
  </si>
  <si>
    <t>80% a 90%</t>
  </si>
  <si>
    <t>Relatórios NIR+ VIVER</t>
  </si>
  <si>
    <t>Taxas de ocupação de leitos por SETOR</t>
  </si>
  <si>
    <t>Garantir uso adequado da capacidade instalada, evitando superlotação ou subutilização dos leitos.</t>
  </si>
  <si>
    <t>Pacientes-dia do setor / leitos-dia do setor × 100</t>
  </si>
  <si>
    <t>Tempo Médio de Permanência dos pacientes -Global</t>
  </si>
  <si>
    <t>Avaliar eficiência do cuidado e gestão de leitos em toda a instituição.</t>
  </si>
  <si>
    <t>(Dias de internação acumulados ÷ Nº de altas no período)</t>
  </si>
  <si>
    <t>≤ 7 dias</t>
  </si>
  <si>
    <t>Tempo Médio de Permanência dos pacientes -Setorizado</t>
  </si>
  <si>
    <t>Identificar setores com permanência acima ou abaixo do esperado, orientando intervenções específicas.</t>
  </si>
  <si>
    <t>(Dias de internação no setor ÷ Nº de altas do setor)</t>
  </si>
  <si>
    <t>Clínica Médica: 6–9 dias</t>
  </si>
  <si>
    <t>Cirúrgica: 3–6 dias</t>
  </si>
  <si>
    <t xml:space="preserve">UTI: 7–14 dias </t>
  </si>
  <si>
    <t>Prolongados ≤ 22 dias</t>
  </si>
  <si>
    <t>Atualização Continua do CNES</t>
  </si>
  <si>
    <t xml:space="preserve">Direção </t>
  </si>
  <si>
    <t>Garantir que o registro do CNES reflita coerência entre capacidade instalada, serviços habilitados e contratualização.</t>
  </si>
  <si>
    <t>(Atualizações realizadas ÷ Atualizações necessárias) × 100</t>
  </si>
  <si>
    <t>100% das atualizações mantidas em conformidade contínua.</t>
  </si>
  <si>
    <t>Sistema CNES / VIVER / Relatórios da Direção Administrativa + visita técnica</t>
  </si>
  <si>
    <t>Taxa de Mortalidade Institucional (&gt;24h)</t>
  </si>
  <si>
    <t>Direção Clínica / NSP</t>
  </si>
  <si>
    <t>Monitorar mortalidade institucional e causas evitáveis.</t>
  </si>
  <si>
    <t>Óbitos &gt;24h / saídas × 100</t>
  </si>
  <si>
    <t>Conforme perfil e risco ajustado</t>
  </si>
  <si>
    <t>SIM + Relatório</t>
  </si>
  <si>
    <t>Taxa de Readmissão ≤ 30 dias</t>
  </si>
  <si>
    <t>NIR + NSP</t>
  </si>
  <si>
    <t>Reduzir readmissões hospitalares evitáveis, relacionadas a falhas na alta, plano terapêutico ou continuidade do cuidado na rede.</t>
  </si>
  <si>
    <t>Readmissões ≤ 30 dias / Total de Altas no período × 100</t>
  </si>
  <si>
    <t>≤ 3%</t>
  </si>
  <si>
    <t>Relatório + VIVER</t>
  </si>
  <si>
    <t>NOTA: Consideram-se metas não alcançadas aquelas que obtiverem pontuação inferior a 10 (dez) na avaliação mensal do indicador. Nesses casos, será atribuída nota 5 (cinco) para efeito de somatório da pontuação global.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</si>
</sst>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0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indexed="64"/>
      </left>
      <right style="medium">
        <color rgb="FFBFBFBF"/>
      </right>
      <top style="medium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/>
      <diagonal/>
    </border>
    <border>
      <left/>
      <right style="medium">
        <color rgb="FFBFBFBF"/>
      </right>
      <top style="medium">
        <color indexed="64"/>
      </top>
      <bottom/>
      <diagonal/>
    </border>
    <border>
      <left style="medium">
        <color rgb="FFBFBFB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indexed="64"/>
      </right>
      <top/>
      <bottom style="medium">
        <color rgb="FFBFBFBF"/>
      </bottom>
      <diagonal/>
    </border>
    <border>
      <left style="medium">
        <color rgb="FFBFBFBF"/>
      </left>
      <right style="medium">
        <color indexed="64"/>
      </right>
      <top style="medium">
        <color rgb="FFBFBFBF"/>
      </top>
      <bottom/>
      <diagonal/>
    </border>
    <border>
      <left style="medium">
        <color rgb="FFBFBFBF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indexed="64"/>
      </bottom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 style="medium">
        <color indexed="64"/>
      </bottom>
      <diagonal/>
    </border>
    <border>
      <left/>
      <right style="medium">
        <color rgb="FFBFBFB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</cellStyleXfs>
  <cellXfs count="245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2" borderId="1" xfId="1" applyNumberFormat="1" applyFont="1" applyFill="1" applyBorder="1" applyAlignment="1">
      <alignment horizontal="center"/>
    </xf>
    <xf numFmtId="43" fontId="2" fillId="3" borderId="1" xfId="1" applyNumberFormat="1" applyFont="1" applyFill="1" applyBorder="1" applyAlignment="1">
      <alignment horizontal="center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43" fontId="2" fillId="4" borderId="1" xfId="2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0" fontId="3" fillId="0" borderId="1" xfId="0" applyFont="1" applyBorder="1"/>
    <xf numFmtId="43" fontId="3" fillId="0" borderId="1" xfId="1" applyNumberFormat="1" applyFont="1" applyBorder="1"/>
    <xf numFmtId="43" fontId="3" fillId="0" borderId="1" xfId="0" applyNumberFormat="1" applyFont="1" applyBorder="1"/>
    <xf numFmtId="43" fontId="3" fillId="0" borderId="0" xfId="0" applyNumberFormat="1" applyFont="1"/>
    <xf numFmtId="43" fontId="3" fillId="0" borderId="1" xfId="1" applyNumberFormat="1" applyFont="1" applyFill="1" applyBorder="1"/>
    <xf numFmtId="164" fontId="3" fillId="0" borderId="0" xfId="0" applyNumberFormat="1" applyFont="1"/>
    <xf numFmtId="44" fontId="2" fillId="3" borderId="1" xfId="1" applyFont="1" applyFill="1" applyBorder="1" applyAlignment="1">
      <alignment horizontal="center"/>
    </xf>
    <xf numFmtId="44" fontId="4" fillId="0" borderId="0" xfId="1" applyFont="1" applyBorder="1"/>
    <xf numFmtId="1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8" fillId="6" borderId="0" xfId="0" applyFont="1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165" fontId="7" fillId="6" borderId="1" xfId="5" applyNumberFormat="1" applyFont="1" applyFill="1" applyBorder="1" applyAlignment="1">
      <alignment horizontal="center"/>
    </xf>
    <xf numFmtId="0" fontId="8" fillId="6" borderId="7" xfId="0" applyFont="1" applyFill="1" applyBorder="1"/>
    <xf numFmtId="3" fontId="7" fillId="6" borderId="1" xfId="5" applyNumberFormat="1" applyFont="1" applyFill="1" applyBorder="1" applyAlignment="1"/>
    <xf numFmtId="4" fontId="8" fillId="6" borderId="7" xfId="5" applyNumberFormat="1" applyFont="1" applyFill="1" applyBorder="1" applyAlignment="1"/>
    <xf numFmtId="4" fontId="7" fillId="6" borderId="1" xfId="5" applyNumberFormat="1" applyFont="1" applyFill="1" applyBorder="1" applyAlignment="1"/>
    <xf numFmtId="0" fontId="8" fillId="6" borderId="10" xfId="0" applyFont="1" applyFill="1" applyBorder="1"/>
    <xf numFmtId="4" fontId="8" fillId="6" borderId="10" xfId="0" applyNumberFormat="1" applyFont="1" applyFill="1" applyBorder="1"/>
    <xf numFmtId="4" fontId="8" fillId="6" borderId="7" xfId="0" applyNumberFormat="1" applyFont="1" applyFill="1" applyBorder="1"/>
    <xf numFmtId="0" fontId="7" fillId="6" borderId="2" xfId="0" applyFont="1" applyFill="1" applyBorder="1" applyAlignment="1">
      <alignment horizontal="center"/>
    </xf>
    <xf numFmtId="0" fontId="11" fillId="6" borderId="6" xfId="0" applyFont="1" applyFill="1" applyBorder="1"/>
    <xf numFmtId="165" fontId="11" fillId="6" borderId="6" xfId="5" applyNumberFormat="1" applyFont="1" applyFill="1" applyBorder="1" applyAlignment="1">
      <alignment horizontal="center"/>
    </xf>
    <xf numFmtId="4" fontId="11" fillId="6" borderId="6" xfId="5" applyNumberFormat="1" applyFont="1" applyFill="1" applyBorder="1" applyAlignment="1"/>
    <xf numFmtId="4" fontId="11" fillId="6" borderId="7" xfId="5" applyNumberFormat="1" applyFont="1" applyFill="1" applyBorder="1" applyAlignment="1"/>
    <xf numFmtId="4" fontId="11" fillId="6" borderId="8" xfId="5" applyNumberFormat="1" applyFont="1" applyFill="1" applyBorder="1" applyAlignment="1"/>
    <xf numFmtId="0" fontId="12" fillId="0" borderId="1" xfId="0" applyFont="1" applyBorder="1"/>
    <xf numFmtId="44" fontId="4" fillId="0" borderId="0" xfId="1" applyFont="1" applyBorder="1" applyAlignment="1">
      <alignment horizontal="center"/>
    </xf>
    <xf numFmtId="43" fontId="3" fillId="0" borderId="0" xfId="1" applyNumberFormat="1" applyFont="1" applyBorder="1" applyAlignment="1">
      <alignment horizontal="center"/>
    </xf>
    <xf numFmtId="165" fontId="11" fillId="6" borderId="9" xfId="5" applyNumberFormat="1" applyFont="1" applyFill="1" applyBorder="1" applyAlignment="1">
      <alignment horizontal="center"/>
    </xf>
    <xf numFmtId="4" fontId="11" fillId="6" borderId="5" xfId="5" applyNumberFormat="1" applyFont="1" applyFill="1" applyBorder="1" applyAlignment="1"/>
    <xf numFmtId="0" fontId="10" fillId="7" borderId="2" xfId="0" applyFont="1" applyFill="1" applyBorder="1" applyAlignment="1">
      <alignment horizontal="left" vertical="center"/>
    </xf>
    <xf numFmtId="0" fontId="10" fillId="7" borderId="3" xfId="0" applyFont="1" applyFill="1" applyBorder="1"/>
    <xf numFmtId="0" fontId="10" fillId="7" borderId="4" xfId="0" applyFont="1" applyFill="1" applyBorder="1"/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3" fontId="2" fillId="6" borderId="0" xfId="1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43" fontId="2" fillId="3" borderId="9" xfId="1" applyNumberFormat="1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43" fontId="2" fillId="6" borderId="0" xfId="2" applyNumberFormat="1" applyFont="1" applyFill="1" applyBorder="1" applyAlignment="1">
      <alignment horizontal="center" vertical="center"/>
    </xf>
    <xf numFmtId="0" fontId="7" fillId="9" borderId="1" xfId="0" applyFont="1" applyFill="1" applyBorder="1"/>
    <xf numFmtId="4" fontId="7" fillId="9" borderId="1" xfId="5" applyNumberFormat="1" applyFont="1" applyFill="1" applyBorder="1" applyAlignment="1"/>
    <xf numFmtId="4" fontId="7" fillId="9" borderId="1" xfId="0" applyNumberFormat="1" applyFont="1" applyFill="1" applyBorder="1"/>
    <xf numFmtId="0" fontId="7" fillId="9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/>
    </xf>
    <xf numFmtId="165" fontId="7" fillId="9" borderId="1" xfId="5" applyNumberFormat="1" applyFont="1" applyFill="1" applyBorder="1" applyAlignment="1">
      <alignment horizontal="center"/>
    </xf>
    <xf numFmtId="4" fontId="10" fillId="6" borderId="5" xfId="5" applyNumberFormat="1" applyFont="1" applyFill="1" applyBorder="1" applyAlignment="1"/>
    <xf numFmtId="4" fontId="8" fillId="6" borderId="11" xfId="5" applyNumberFormat="1" applyFont="1" applyFill="1" applyBorder="1" applyAlignment="1"/>
    <xf numFmtId="0" fontId="7" fillId="7" borderId="1" xfId="0" applyFont="1" applyFill="1" applyBorder="1"/>
    <xf numFmtId="0" fontId="7" fillId="7" borderId="1" xfId="0" applyFont="1" applyFill="1" applyBorder="1" applyAlignment="1">
      <alignment horizontal="center"/>
    </xf>
    <xf numFmtId="165" fontId="7" fillId="7" borderId="1" xfId="5" applyNumberFormat="1" applyFont="1" applyFill="1" applyBorder="1" applyAlignment="1">
      <alignment horizontal="center"/>
    </xf>
    <xf numFmtId="3" fontId="7" fillId="7" borderId="1" xfId="5" applyNumberFormat="1" applyFont="1" applyFill="1" applyBorder="1" applyAlignment="1"/>
    <xf numFmtId="43" fontId="0" fillId="0" borderId="0" xfId="5" applyFont="1"/>
    <xf numFmtId="43" fontId="0" fillId="0" borderId="0" xfId="0" applyNumberFormat="1"/>
    <xf numFmtId="0" fontId="3" fillId="6" borderId="1" xfId="0" applyFont="1" applyFill="1" applyBorder="1"/>
    <xf numFmtId="4" fontId="11" fillId="6" borderId="6" xfId="0" applyNumberFormat="1" applyFont="1" applyFill="1" applyBorder="1"/>
    <xf numFmtId="4" fontId="10" fillId="6" borderId="6" xfId="0" applyNumberFormat="1" applyFont="1" applyFill="1" applyBorder="1"/>
    <xf numFmtId="0" fontId="10" fillId="6" borderId="2" xfId="0" applyFont="1" applyFill="1" applyBorder="1" applyAlignment="1">
      <alignment horizontal="center"/>
    </xf>
    <xf numFmtId="0" fontId="10" fillId="6" borderId="1" xfId="0" applyFont="1" applyFill="1" applyBorder="1"/>
    <xf numFmtId="4" fontId="10" fillId="6" borderId="1" xfId="5" applyNumberFormat="1" applyFont="1" applyFill="1" applyBorder="1" applyAlignment="1"/>
    <xf numFmtId="4" fontId="10" fillId="6" borderId="1" xfId="5" applyNumberFormat="1" applyFont="1" applyFill="1" applyBorder="1"/>
    <xf numFmtId="4" fontId="0" fillId="0" borderId="0" xfId="0" applyNumberFormat="1"/>
    <xf numFmtId="43" fontId="3" fillId="0" borderId="0" xfId="5" applyFont="1"/>
    <xf numFmtId="4" fontId="3" fillId="0" borderId="0" xfId="0" applyNumberFormat="1" applyFont="1"/>
    <xf numFmtId="0" fontId="12" fillId="6" borderId="1" xfId="0" applyFont="1" applyFill="1" applyBorder="1"/>
    <xf numFmtId="164" fontId="3" fillId="11" borderId="1" xfId="0" applyNumberFormat="1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2" fillId="11" borderId="1" xfId="0" applyFont="1" applyFill="1" applyBorder="1"/>
    <xf numFmtId="43" fontId="3" fillId="11" borderId="1" xfId="1" applyNumberFormat="1" applyFont="1" applyFill="1" applyBorder="1"/>
    <xf numFmtId="43" fontId="3" fillId="11" borderId="1" xfId="0" applyNumberFormat="1" applyFont="1" applyFill="1" applyBorder="1"/>
    <xf numFmtId="0" fontId="0" fillId="0" borderId="0" xfId="0" applyAlignment="1">
      <alignment horizontal="center"/>
    </xf>
    <xf numFmtId="3" fontId="8" fillId="7" borderId="10" xfId="5" applyNumberFormat="1" applyFont="1" applyFill="1" applyBorder="1" applyAlignment="1"/>
    <xf numFmtId="0" fontId="7" fillId="7" borderId="10" xfId="0" applyFont="1" applyFill="1" applyBorder="1"/>
    <xf numFmtId="3" fontId="7" fillId="7" borderId="10" xfId="5" applyNumberFormat="1" applyFont="1" applyFill="1" applyBorder="1" applyAlignment="1"/>
    <xf numFmtId="0" fontId="8" fillId="6" borderId="1" xfId="0" applyFont="1" applyFill="1" applyBorder="1"/>
    <xf numFmtId="3" fontId="8" fillId="6" borderId="1" xfId="5" applyNumberFormat="1" applyFont="1" applyFill="1" applyBorder="1" applyAlignment="1"/>
    <xf numFmtId="4" fontId="8" fillId="7" borderId="10" xfId="0" applyNumberFormat="1" applyFont="1" applyFill="1" applyBorder="1"/>
    <xf numFmtId="43" fontId="2" fillId="3" borderId="1" xfId="5" applyFont="1" applyFill="1" applyBorder="1" applyAlignment="1">
      <alignment horizontal="center"/>
    </xf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8" fillId="0" borderId="1" xfId="1" applyNumberFormat="1" applyFont="1" applyBorder="1"/>
    <xf numFmtId="43" fontId="8" fillId="0" borderId="1" xfId="0" applyNumberFormat="1" applyFont="1" applyBorder="1"/>
    <xf numFmtId="0" fontId="8" fillId="10" borderId="1" xfId="0" applyFont="1" applyFill="1" applyBorder="1"/>
    <xf numFmtId="43" fontId="8" fillId="10" borderId="1" xfId="0" applyNumberFormat="1" applyFont="1" applyFill="1" applyBorder="1"/>
    <xf numFmtId="43" fontId="7" fillId="10" borderId="1" xfId="0" applyNumberFormat="1" applyFont="1" applyFill="1" applyBorder="1"/>
    <xf numFmtId="0" fontId="7" fillId="4" borderId="1" xfId="0" applyFont="1" applyFill="1" applyBorder="1" applyAlignment="1">
      <alignment horizontal="center" vertical="center"/>
    </xf>
    <xf numFmtId="43" fontId="7" fillId="4" borderId="1" xfId="2" applyNumberFormat="1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43" fontId="7" fillId="6" borderId="0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43" fontId="7" fillId="6" borderId="1" xfId="2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43" fontId="8" fillId="10" borderId="1" xfId="5" applyFont="1" applyFill="1" applyBorder="1" applyAlignment="1"/>
    <xf numFmtId="0" fontId="7" fillId="3" borderId="1" xfId="0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43" fontId="7" fillId="3" borderId="1" xfId="5" applyFont="1" applyFill="1" applyBorder="1" applyAlignment="1">
      <alignment horizontal="center"/>
    </xf>
    <xf numFmtId="43" fontId="7" fillId="3" borderId="1" xfId="1" applyNumberFormat="1" applyFont="1" applyFill="1" applyBorder="1" applyAlignment="1">
      <alignment horizontal="center"/>
    </xf>
    <xf numFmtId="4" fontId="7" fillId="7" borderId="1" xfId="5" applyNumberFormat="1" applyFont="1" applyFill="1" applyBorder="1" applyAlignment="1"/>
    <xf numFmtId="0" fontId="0" fillId="0" borderId="0" xfId="0" applyAlignment="1">
      <alignment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12" borderId="38" xfId="0" applyFont="1" applyFill="1" applyBorder="1" applyAlignment="1">
      <alignment horizontal="center" vertical="center" wrapText="1"/>
    </xf>
    <xf numFmtId="0" fontId="15" fillId="12" borderId="39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" fontId="7" fillId="7" borderId="7" xfId="5" applyNumberFormat="1" applyFont="1" applyFill="1" applyBorder="1" applyAlignment="1"/>
    <xf numFmtId="4" fontId="8" fillId="6" borderId="1" xfId="5" applyNumberFormat="1" applyFont="1" applyFill="1" applyBorder="1" applyAlignment="1"/>
    <xf numFmtId="4" fontId="7" fillId="7" borderId="1" xfId="0" applyNumberFormat="1" applyFont="1" applyFill="1" applyBorder="1"/>
    <xf numFmtId="43" fontId="7" fillId="7" borderId="1" xfId="5" applyFont="1" applyFill="1" applyBorder="1"/>
    <xf numFmtId="43" fontId="8" fillId="0" borderId="1" xfId="1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43" fontId="8" fillId="13" borderId="1" xfId="1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3" fontId="2" fillId="4" borderId="1" xfId="2" applyNumberFormat="1" applyFont="1" applyFill="1" applyBorder="1" applyAlignment="1">
      <alignment horizontal="center" vertical="center" wrapText="1"/>
    </xf>
    <xf numFmtId="43" fontId="2" fillId="4" borderId="1" xfId="2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 vertical="top" wrapText="1"/>
    </xf>
    <xf numFmtId="164" fontId="13" fillId="0" borderId="3" xfId="0" applyNumberFormat="1" applyFont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3" fontId="7" fillId="4" borderId="9" xfId="2" applyNumberFormat="1" applyFont="1" applyFill="1" applyBorder="1" applyAlignment="1">
      <alignment horizontal="center" vertical="center" wrapText="1"/>
    </xf>
    <xf numFmtId="43" fontId="7" fillId="4" borderId="5" xfId="2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3" fontId="7" fillId="4" borderId="1" xfId="2" applyNumberFormat="1" applyFont="1" applyFill="1" applyBorder="1" applyAlignment="1">
      <alignment horizontal="center" vertical="center" wrapText="1"/>
    </xf>
    <xf numFmtId="43" fontId="7" fillId="4" borderId="1" xfId="2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2" fillId="3" borderId="17" xfId="0" applyNumberFormat="1" applyFont="1" applyFill="1" applyBorder="1" applyAlignment="1">
      <alignment horizontal="center"/>
    </xf>
    <xf numFmtId="164" fontId="2" fillId="3" borderId="13" xfId="0" applyNumberFormat="1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164" fontId="2" fillId="8" borderId="16" xfId="0" applyNumberFormat="1" applyFont="1" applyFill="1" applyBorder="1" applyAlignment="1">
      <alignment horizontal="left" vertical="top"/>
    </xf>
    <xf numFmtId="164" fontId="2" fillId="8" borderId="12" xfId="0" applyNumberFormat="1" applyFont="1" applyFill="1" applyBorder="1" applyAlignment="1">
      <alignment horizontal="left" vertical="top"/>
    </xf>
    <xf numFmtId="164" fontId="2" fillId="8" borderId="14" xfId="0" applyNumberFormat="1" applyFont="1" applyFill="1" applyBorder="1" applyAlignment="1">
      <alignment horizontal="left" vertical="top"/>
    </xf>
    <xf numFmtId="164" fontId="2" fillId="8" borderId="16" xfId="0" applyNumberFormat="1" applyFont="1" applyFill="1" applyBorder="1" applyAlignment="1">
      <alignment horizontal="left" vertical="center"/>
    </xf>
    <xf numFmtId="164" fontId="2" fillId="8" borderId="12" xfId="0" applyNumberFormat="1" applyFont="1" applyFill="1" applyBorder="1" applyAlignment="1">
      <alignment horizontal="left" vertical="center"/>
    </xf>
    <xf numFmtId="164" fontId="2" fillId="8" borderId="14" xfId="0" applyNumberFormat="1" applyFont="1" applyFill="1" applyBorder="1" applyAlignment="1">
      <alignment horizontal="left" vertical="center"/>
    </xf>
    <xf numFmtId="164" fontId="2" fillId="9" borderId="16" xfId="0" applyNumberFormat="1" applyFont="1" applyFill="1" applyBorder="1" applyAlignment="1">
      <alignment horizontal="left" vertical="center"/>
    </xf>
    <xf numFmtId="164" fontId="2" fillId="9" borderId="12" xfId="0" applyNumberFormat="1" applyFont="1" applyFill="1" applyBorder="1" applyAlignment="1">
      <alignment horizontal="left" vertical="center"/>
    </xf>
    <xf numFmtId="164" fontId="2" fillId="9" borderId="14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/>
    </xf>
    <xf numFmtId="164" fontId="5" fillId="9" borderId="16" xfId="0" applyNumberFormat="1" applyFont="1" applyFill="1" applyBorder="1" applyAlignment="1">
      <alignment horizontal="left" vertical="center"/>
    </xf>
    <xf numFmtId="164" fontId="5" fillId="9" borderId="12" xfId="0" applyNumberFormat="1" applyFont="1" applyFill="1" applyBorder="1" applyAlignment="1">
      <alignment horizontal="left" vertical="center"/>
    </xf>
    <xf numFmtId="164" fontId="5" fillId="9" borderId="14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center" vertical="top"/>
    </xf>
    <xf numFmtId="164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64" fontId="2" fillId="8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wrapText="1"/>
    </xf>
    <xf numFmtId="0" fontId="7" fillId="6" borderId="12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7" fillId="6" borderId="16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 wrapText="1"/>
    </xf>
    <xf numFmtId="0" fontId="13" fillId="6" borderId="13" xfId="0" applyFont="1" applyFill="1" applyBorder="1" applyAlignment="1">
      <alignment horizontal="center" wrapText="1"/>
    </xf>
    <xf numFmtId="0" fontId="13" fillId="6" borderId="18" xfId="0" applyFont="1" applyFill="1" applyBorder="1" applyAlignment="1">
      <alignment horizont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</cellXfs>
  <cellStyles count="6">
    <cellStyle name="Moeda" xfId="1" builtinId="4"/>
    <cellStyle name="Moeda 2" xfId="2" xr:uid="{00000000-0005-0000-0000-000001000000}"/>
    <cellStyle name="Normal" xfId="0" builtinId="0"/>
    <cellStyle name="Normal 2" xfId="4" xr:uid="{00000000-0005-0000-0000-000003000000}"/>
    <cellStyle name="Vírgula" xfId="5" builtinId="3"/>
    <cellStyle name="Vírgula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L157"/>
  <sheetViews>
    <sheetView showGridLines="0" zoomScaleNormal="100" workbookViewId="0">
      <selection activeCell="B6" sqref="B6"/>
    </sheetView>
  </sheetViews>
  <sheetFormatPr defaultRowHeight="12"/>
  <cols>
    <col min="1" max="1" width="12" style="14" customWidth="1"/>
    <col min="2" max="2" width="78.85546875" style="5" customWidth="1"/>
    <col min="3" max="3" width="13.42578125" style="19" customWidth="1"/>
    <col min="4" max="4" width="19.5703125" style="19" customWidth="1"/>
    <col min="5" max="5" width="9.7109375" style="5" customWidth="1"/>
    <col min="6" max="7" width="11.140625" style="5" customWidth="1"/>
    <col min="8" max="8" width="12.85546875" style="5" customWidth="1"/>
    <col min="9" max="9" width="14" style="5" customWidth="1"/>
    <col min="10" max="10" width="10.5703125" style="5" bestFit="1" customWidth="1"/>
    <col min="11" max="11" width="10" style="5" bestFit="1" customWidth="1"/>
    <col min="12" max="12" width="10.5703125" style="5" bestFit="1" customWidth="1"/>
    <col min="13" max="16384" width="9.140625" style="5"/>
  </cols>
  <sheetData>
    <row r="1" spans="1:12" ht="33.75" customHeight="1">
      <c r="A1" s="207" t="s">
        <v>0</v>
      </c>
      <c r="B1" s="208"/>
      <c r="C1" s="208"/>
      <c r="D1" s="208"/>
      <c r="E1" s="208"/>
      <c r="F1" s="208"/>
      <c r="G1" s="208"/>
      <c r="H1" s="208"/>
      <c r="I1" s="208"/>
    </row>
    <row r="2" spans="1:12" ht="21.75" customHeight="1">
      <c r="A2" s="213" t="s">
        <v>1</v>
      </c>
      <c r="B2" s="151" t="s">
        <v>2</v>
      </c>
      <c r="C2" s="152" t="s">
        <v>3</v>
      </c>
      <c r="D2" s="152" t="s">
        <v>4</v>
      </c>
      <c r="E2" s="151" t="s">
        <v>5</v>
      </c>
      <c r="F2" s="151"/>
      <c r="G2" s="153" t="s">
        <v>6</v>
      </c>
      <c r="H2" s="151" t="s">
        <v>7</v>
      </c>
      <c r="I2" s="151"/>
    </row>
    <row r="3" spans="1:12" ht="37.5" customHeight="1">
      <c r="A3" s="213"/>
      <c r="B3" s="151"/>
      <c r="C3" s="152"/>
      <c r="D3" s="152"/>
      <c r="E3" s="6" t="s">
        <v>8</v>
      </c>
      <c r="F3" s="6" t="s">
        <v>9</v>
      </c>
      <c r="G3" s="154"/>
      <c r="H3" s="7" t="s">
        <v>8</v>
      </c>
      <c r="I3" s="7" t="s">
        <v>9</v>
      </c>
    </row>
    <row r="4" spans="1:12">
      <c r="A4" s="209" t="s">
        <v>10</v>
      </c>
      <c r="B4" s="210"/>
      <c r="C4" s="210"/>
      <c r="D4" s="210"/>
      <c r="E4" s="210"/>
      <c r="F4" s="210"/>
      <c r="G4" s="210"/>
      <c r="H4" s="210"/>
      <c r="I4" s="210"/>
    </row>
    <row r="5" spans="1:12">
      <c r="A5" s="211" t="str">
        <f>UPPER("SUBGRUPO   02   Diagnóstico em laboratório clínico")</f>
        <v>SUBGRUPO   02   DIAGNÓSTICO EM LABORATÓRIO CLÍNICO</v>
      </c>
      <c r="B5" s="212"/>
      <c r="C5" s="212"/>
      <c r="D5" s="212"/>
      <c r="E5" s="212"/>
      <c r="F5" s="212"/>
      <c r="G5" s="212"/>
      <c r="H5" s="212"/>
      <c r="I5" s="212"/>
    </row>
    <row r="6" spans="1:12">
      <c r="A6" s="8">
        <v>202010120</v>
      </c>
      <c r="B6" s="9" t="s">
        <v>11</v>
      </c>
      <c r="C6" s="18" t="s">
        <v>12</v>
      </c>
      <c r="D6" s="18" t="s">
        <v>13</v>
      </c>
      <c r="E6" s="9">
        <v>345</v>
      </c>
      <c r="F6" s="9">
        <f>E6*12</f>
        <v>4140</v>
      </c>
      <c r="G6" s="10">
        <v>1.85</v>
      </c>
      <c r="H6" s="10">
        <f>G6*E6</f>
        <v>638.25</v>
      </c>
      <c r="I6" s="11">
        <f>H6*12</f>
        <v>7659</v>
      </c>
      <c r="J6" s="12"/>
      <c r="K6" s="12"/>
      <c r="L6" s="12"/>
    </row>
    <row r="7" spans="1:12">
      <c r="A7" s="8">
        <v>202010180</v>
      </c>
      <c r="B7" s="9" t="s">
        <v>14</v>
      </c>
      <c r="C7" s="18" t="s">
        <v>12</v>
      </c>
      <c r="D7" s="18" t="s">
        <v>13</v>
      </c>
      <c r="E7" s="9">
        <v>190</v>
      </c>
      <c r="F7" s="9">
        <f t="shared" ref="F7:F63" si="0">E7*12</f>
        <v>2280</v>
      </c>
      <c r="G7" s="10">
        <v>2.25</v>
      </c>
      <c r="H7" s="10">
        <f t="shared" ref="H7:H63" si="1">G7*E7</f>
        <v>427.5</v>
      </c>
      <c r="I7" s="11">
        <f t="shared" ref="I7:I63" si="2">H7*12</f>
        <v>5130</v>
      </c>
      <c r="J7" s="12"/>
      <c r="K7" s="12"/>
      <c r="L7" s="12"/>
    </row>
    <row r="8" spans="1:12">
      <c r="A8" s="8">
        <v>202010201</v>
      </c>
      <c r="B8" s="39" t="s">
        <v>15</v>
      </c>
      <c r="C8" s="18" t="s">
        <v>12</v>
      </c>
      <c r="D8" s="18" t="s">
        <v>13</v>
      </c>
      <c r="E8" s="9">
        <v>150</v>
      </c>
      <c r="F8" s="9">
        <f t="shared" si="0"/>
        <v>1800</v>
      </c>
      <c r="G8" s="10">
        <v>2.0099999999999998</v>
      </c>
      <c r="H8" s="10">
        <f t="shared" si="1"/>
        <v>301.49999999999994</v>
      </c>
      <c r="I8" s="11">
        <f t="shared" si="2"/>
        <v>3617.9999999999991</v>
      </c>
      <c r="J8" s="12"/>
      <c r="K8" s="12"/>
      <c r="L8" s="12"/>
    </row>
    <row r="9" spans="1:12">
      <c r="A9" s="8">
        <v>202010210</v>
      </c>
      <c r="B9" s="9" t="s">
        <v>16</v>
      </c>
      <c r="C9" s="18" t="s">
        <v>12</v>
      </c>
      <c r="D9" s="18" t="s">
        <v>13</v>
      </c>
      <c r="E9" s="9">
        <v>280</v>
      </c>
      <c r="F9" s="9">
        <f t="shared" si="0"/>
        <v>3360</v>
      </c>
      <c r="G9" s="10">
        <v>1.85</v>
      </c>
      <c r="H9" s="10">
        <f t="shared" si="1"/>
        <v>518</v>
      </c>
      <c r="I9" s="11">
        <f t="shared" si="2"/>
        <v>6216</v>
      </c>
      <c r="J9" s="12"/>
      <c r="K9" s="12"/>
      <c r="L9" s="12"/>
    </row>
    <row r="10" spans="1:12">
      <c r="A10" s="8">
        <v>202010260</v>
      </c>
      <c r="B10" s="9" t="s">
        <v>17</v>
      </c>
      <c r="C10" s="18" t="s">
        <v>12</v>
      </c>
      <c r="D10" s="18" t="s">
        <v>13</v>
      </c>
      <c r="E10" s="9">
        <v>25</v>
      </c>
      <c r="F10" s="9">
        <f t="shared" si="0"/>
        <v>300</v>
      </c>
      <c r="G10" s="10">
        <v>1.85</v>
      </c>
      <c r="H10" s="10">
        <f t="shared" si="1"/>
        <v>46.25</v>
      </c>
      <c r="I10" s="11">
        <f t="shared" si="2"/>
        <v>555</v>
      </c>
      <c r="J10" s="12"/>
      <c r="K10" s="12"/>
      <c r="L10" s="12"/>
    </row>
    <row r="11" spans="1:12">
      <c r="A11" s="8">
        <v>202010279</v>
      </c>
      <c r="B11" s="9" t="s">
        <v>18</v>
      </c>
      <c r="C11" s="18" t="s">
        <v>12</v>
      </c>
      <c r="D11" s="18" t="s">
        <v>13</v>
      </c>
      <c r="E11" s="9">
        <v>800</v>
      </c>
      <c r="F11" s="9">
        <f t="shared" si="0"/>
        <v>9600</v>
      </c>
      <c r="G11" s="10">
        <v>3.51</v>
      </c>
      <c r="H11" s="10">
        <f t="shared" si="1"/>
        <v>2808</v>
      </c>
      <c r="I11" s="11">
        <f t="shared" si="2"/>
        <v>33696</v>
      </c>
      <c r="J11" s="12"/>
      <c r="K11" s="12"/>
      <c r="L11" s="12"/>
    </row>
    <row r="12" spans="1:12">
      <c r="A12" s="8">
        <v>202010287</v>
      </c>
      <c r="B12" s="9" t="s">
        <v>19</v>
      </c>
      <c r="C12" s="18" t="s">
        <v>12</v>
      </c>
      <c r="D12" s="18" t="s">
        <v>13</v>
      </c>
      <c r="E12" s="9">
        <v>800</v>
      </c>
      <c r="F12" s="9">
        <f t="shared" si="0"/>
        <v>9600</v>
      </c>
      <c r="G12" s="10">
        <v>3.51</v>
      </c>
      <c r="H12" s="10">
        <f t="shared" si="1"/>
        <v>2808</v>
      </c>
      <c r="I12" s="11">
        <f t="shared" si="2"/>
        <v>33696</v>
      </c>
      <c r="J12" s="12"/>
      <c r="K12" s="12"/>
      <c r="L12" s="12"/>
    </row>
    <row r="13" spans="1:12">
      <c r="A13" s="8">
        <v>202010295</v>
      </c>
      <c r="B13" s="9" t="s">
        <v>20</v>
      </c>
      <c r="C13" s="18" t="s">
        <v>12</v>
      </c>
      <c r="D13" s="18" t="s">
        <v>13</v>
      </c>
      <c r="E13" s="9">
        <v>800</v>
      </c>
      <c r="F13" s="9">
        <f t="shared" si="0"/>
        <v>9600</v>
      </c>
      <c r="G13" s="10">
        <v>1.85</v>
      </c>
      <c r="H13" s="10">
        <f t="shared" si="1"/>
        <v>1480</v>
      </c>
      <c r="I13" s="11">
        <f t="shared" si="2"/>
        <v>17760</v>
      </c>
      <c r="J13" s="12"/>
      <c r="K13" s="12"/>
      <c r="L13" s="12"/>
    </row>
    <row r="14" spans="1:12">
      <c r="A14" s="8">
        <v>202010317</v>
      </c>
      <c r="B14" s="9" t="s">
        <v>21</v>
      </c>
      <c r="C14" s="18" t="s">
        <v>12</v>
      </c>
      <c r="D14" s="18" t="s">
        <v>13</v>
      </c>
      <c r="E14" s="9">
        <v>700</v>
      </c>
      <c r="F14" s="9">
        <f t="shared" si="0"/>
        <v>8400</v>
      </c>
      <c r="G14" s="10">
        <v>1.85</v>
      </c>
      <c r="H14" s="10">
        <f t="shared" si="1"/>
        <v>1295</v>
      </c>
      <c r="I14" s="11">
        <f t="shared" si="2"/>
        <v>15540</v>
      </c>
      <c r="J14" s="12"/>
      <c r="K14" s="12"/>
      <c r="L14" s="12"/>
    </row>
    <row r="15" spans="1:12">
      <c r="A15" s="8">
        <v>202010325</v>
      </c>
      <c r="B15" s="9" t="s">
        <v>22</v>
      </c>
      <c r="C15" s="18" t="s">
        <v>12</v>
      </c>
      <c r="D15" s="18" t="s">
        <v>13</v>
      </c>
      <c r="E15" s="9">
        <v>20</v>
      </c>
      <c r="F15" s="9">
        <f t="shared" si="0"/>
        <v>240</v>
      </c>
      <c r="G15" s="10">
        <v>3.68</v>
      </c>
      <c r="H15" s="10">
        <f t="shared" si="1"/>
        <v>73.600000000000009</v>
      </c>
      <c r="I15" s="11">
        <f t="shared" si="2"/>
        <v>883.2</v>
      </c>
      <c r="J15" s="12"/>
      <c r="K15" s="12"/>
      <c r="L15" s="12"/>
    </row>
    <row r="16" spans="1:12">
      <c r="A16" s="8">
        <v>202010384</v>
      </c>
      <c r="B16" s="9" t="s">
        <v>23</v>
      </c>
      <c r="C16" s="18" t="s">
        <v>12</v>
      </c>
      <c r="D16" s="18" t="s">
        <v>13</v>
      </c>
      <c r="E16" s="9">
        <v>290</v>
      </c>
      <c r="F16" s="9">
        <f t="shared" si="0"/>
        <v>3480</v>
      </c>
      <c r="G16" s="10">
        <v>15.59</v>
      </c>
      <c r="H16" s="10">
        <f t="shared" si="1"/>
        <v>4521.1000000000004</v>
      </c>
      <c r="I16" s="11">
        <f t="shared" si="2"/>
        <v>54253.200000000004</v>
      </c>
      <c r="J16" s="12"/>
      <c r="K16" s="12"/>
      <c r="L16" s="12"/>
    </row>
    <row r="17" spans="1:12">
      <c r="A17" s="8">
        <v>202010392</v>
      </c>
      <c r="B17" s="9" t="s">
        <v>24</v>
      </c>
      <c r="C17" s="18" t="s">
        <v>12</v>
      </c>
      <c r="D17" s="18" t="s">
        <v>13</v>
      </c>
      <c r="E17" s="9">
        <v>230</v>
      </c>
      <c r="F17" s="9">
        <f t="shared" si="0"/>
        <v>2760</v>
      </c>
      <c r="G17" s="10">
        <v>3.51</v>
      </c>
      <c r="H17" s="10">
        <f t="shared" si="1"/>
        <v>807.3</v>
      </c>
      <c r="I17" s="11">
        <f t="shared" si="2"/>
        <v>9687.5999999999985</v>
      </c>
      <c r="J17" s="12"/>
      <c r="K17" s="12"/>
      <c r="L17" s="12"/>
    </row>
    <row r="18" spans="1:12">
      <c r="A18" s="8">
        <v>202010430</v>
      </c>
      <c r="B18" s="9" t="s">
        <v>25</v>
      </c>
      <c r="C18" s="18" t="s">
        <v>12</v>
      </c>
      <c r="D18" s="18" t="s">
        <v>13</v>
      </c>
      <c r="E18" s="9">
        <v>60</v>
      </c>
      <c r="F18" s="9">
        <f t="shared" si="0"/>
        <v>720</v>
      </c>
      <c r="G18" s="10">
        <v>1.85</v>
      </c>
      <c r="H18" s="10">
        <f t="shared" si="1"/>
        <v>111</v>
      </c>
      <c r="I18" s="11">
        <f t="shared" si="2"/>
        <v>1332</v>
      </c>
      <c r="J18" s="12"/>
      <c r="K18" s="12"/>
      <c r="L18" s="12"/>
    </row>
    <row r="19" spans="1:12">
      <c r="A19" s="8">
        <v>202010465</v>
      </c>
      <c r="B19" s="9" t="s">
        <v>26</v>
      </c>
      <c r="C19" s="18" t="s">
        <v>12</v>
      </c>
      <c r="D19" s="18" t="s">
        <v>13</v>
      </c>
      <c r="E19" s="9">
        <v>300</v>
      </c>
      <c r="F19" s="9">
        <f t="shared" si="0"/>
        <v>3600</v>
      </c>
      <c r="G19" s="13">
        <v>3.51</v>
      </c>
      <c r="H19" s="10">
        <f t="shared" si="1"/>
        <v>1053</v>
      </c>
      <c r="I19" s="11">
        <f t="shared" si="2"/>
        <v>12636</v>
      </c>
      <c r="J19" s="12"/>
      <c r="K19" s="12"/>
      <c r="L19" s="12"/>
    </row>
    <row r="20" spans="1:12">
      <c r="A20" s="8">
        <v>202010473</v>
      </c>
      <c r="B20" s="9" t="s">
        <v>27</v>
      </c>
      <c r="C20" s="18" t="s">
        <v>12</v>
      </c>
      <c r="D20" s="18" t="s">
        <v>13</v>
      </c>
      <c r="E20" s="9">
        <v>800</v>
      </c>
      <c r="F20" s="9">
        <f t="shared" si="0"/>
        <v>9600</v>
      </c>
      <c r="G20" s="10">
        <v>1.85</v>
      </c>
      <c r="H20" s="10">
        <f t="shared" si="1"/>
        <v>1480</v>
      </c>
      <c r="I20" s="11">
        <f t="shared" si="2"/>
        <v>17760</v>
      </c>
      <c r="J20" s="12"/>
      <c r="K20" s="12"/>
      <c r="L20" s="12"/>
    </row>
    <row r="21" spans="1:12">
      <c r="A21" s="8">
        <v>202010503</v>
      </c>
      <c r="B21" s="9" t="s">
        <v>28</v>
      </c>
      <c r="C21" s="18" t="s">
        <v>12</v>
      </c>
      <c r="D21" s="18" t="s">
        <v>13</v>
      </c>
      <c r="E21" s="9">
        <v>640</v>
      </c>
      <c r="F21" s="9">
        <f t="shared" si="0"/>
        <v>7680</v>
      </c>
      <c r="G21" s="13">
        <v>7.86</v>
      </c>
      <c r="H21" s="13">
        <f t="shared" si="1"/>
        <v>5030.4000000000005</v>
      </c>
      <c r="I21" s="11">
        <f t="shared" si="2"/>
        <v>60364.800000000003</v>
      </c>
      <c r="J21" s="12"/>
      <c r="K21" s="12"/>
      <c r="L21" s="12"/>
    </row>
    <row r="22" spans="1:12">
      <c r="A22" s="8">
        <v>202010554</v>
      </c>
      <c r="B22" s="9" t="s">
        <v>29</v>
      </c>
      <c r="C22" s="18" t="s">
        <v>12</v>
      </c>
      <c r="D22" s="18" t="s">
        <v>13</v>
      </c>
      <c r="E22" s="9">
        <v>180</v>
      </c>
      <c r="F22" s="9">
        <f t="shared" si="0"/>
        <v>2160</v>
      </c>
      <c r="G22" s="13">
        <v>2.25</v>
      </c>
      <c r="H22" s="13">
        <f t="shared" si="1"/>
        <v>405</v>
      </c>
      <c r="I22" s="11">
        <f t="shared" si="2"/>
        <v>4860</v>
      </c>
      <c r="J22" s="12"/>
      <c r="K22" s="12"/>
      <c r="L22" s="12"/>
    </row>
    <row r="23" spans="1:12">
      <c r="A23" s="8">
        <v>202010562</v>
      </c>
      <c r="B23" s="9" t="s">
        <v>30</v>
      </c>
      <c r="C23" s="18" t="s">
        <v>12</v>
      </c>
      <c r="D23" s="18" t="s">
        <v>13</v>
      </c>
      <c r="E23" s="9">
        <v>101</v>
      </c>
      <c r="F23" s="9">
        <f t="shared" si="0"/>
        <v>1212</v>
      </c>
      <c r="G23" s="13">
        <v>2.0099999999999998</v>
      </c>
      <c r="H23" s="13">
        <f t="shared" si="1"/>
        <v>203.01</v>
      </c>
      <c r="I23" s="11">
        <f t="shared" si="2"/>
        <v>2436.12</v>
      </c>
      <c r="J23" s="12"/>
      <c r="K23" s="12"/>
      <c r="L23" s="12"/>
    </row>
    <row r="24" spans="1:12">
      <c r="A24" s="8">
        <v>202010600</v>
      </c>
      <c r="B24" s="9" t="s">
        <v>31</v>
      </c>
      <c r="C24" s="18" t="s">
        <v>12</v>
      </c>
      <c r="D24" s="18" t="s">
        <v>13</v>
      </c>
      <c r="E24" s="9">
        <v>500</v>
      </c>
      <c r="F24" s="9">
        <f t="shared" si="0"/>
        <v>6000</v>
      </c>
      <c r="G24" s="13">
        <v>1.85</v>
      </c>
      <c r="H24" s="13">
        <f t="shared" si="1"/>
        <v>925</v>
      </c>
      <c r="I24" s="11">
        <f t="shared" si="2"/>
        <v>11100</v>
      </c>
      <c r="J24" s="12"/>
      <c r="K24" s="12"/>
      <c r="L24" s="12"/>
    </row>
    <row r="25" spans="1:12">
      <c r="A25" s="8">
        <v>202010635</v>
      </c>
      <c r="B25" s="9" t="s">
        <v>32</v>
      </c>
      <c r="C25" s="18" t="s">
        <v>12</v>
      </c>
      <c r="D25" s="18" t="s">
        <v>13</v>
      </c>
      <c r="E25" s="9">
        <v>500</v>
      </c>
      <c r="F25" s="9">
        <f t="shared" si="0"/>
        <v>6000</v>
      </c>
      <c r="G25" s="10">
        <v>1.85</v>
      </c>
      <c r="H25" s="10">
        <f t="shared" si="1"/>
        <v>925</v>
      </c>
      <c r="I25" s="11">
        <f t="shared" si="2"/>
        <v>11100</v>
      </c>
      <c r="J25" s="12"/>
      <c r="K25" s="12"/>
      <c r="L25" s="12"/>
    </row>
    <row r="26" spans="1:12">
      <c r="A26" s="8">
        <v>202010643</v>
      </c>
      <c r="B26" s="9" t="s">
        <v>33</v>
      </c>
      <c r="C26" s="18" t="s">
        <v>12</v>
      </c>
      <c r="D26" s="18" t="s">
        <v>13</v>
      </c>
      <c r="E26" s="9">
        <v>890</v>
      </c>
      <c r="F26" s="9">
        <f t="shared" si="0"/>
        <v>10680</v>
      </c>
      <c r="G26" s="10">
        <v>2.0099999999999998</v>
      </c>
      <c r="H26" s="10">
        <f t="shared" si="1"/>
        <v>1788.8999999999999</v>
      </c>
      <c r="I26" s="11">
        <f t="shared" si="2"/>
        <v>21466.799999999999</v>
      </c>
      <c r="J26" s="12"/>
      <c r="K26" s="12"/>
      <c r="L26" s="12"/>
    </row>
    <row r="27" spans="1:12">
      <c r="A27" s="8">
        <v>202010651</v>
      </c>
      <c r="B27" s="9" t="s">
        <v>34</v>
      </c>
      <c r="C27" s="18" t="s">
        <v>12</v>
      </c>
      <c r="D27" s="18" t="s">
        <v>13</v>
      </c>
      <c r="E27" s="9">
        <v>890</v>
      </c>
      <c r="F27" s="9">
        <f t="shared" si="0"/>
        <v>10680</v>
      </c>
      <c r="G27" s="10">
        <v>2.0099999999999998</v>
      </c>
      <c r="H27" s="10">
        <f t="shared" si="1"/>
        <v>1788.8999999999999</v>
      </c>
      <c r="I27" s="11">
        <f t="shared" si="2"/>
        <v>21466.799999999999</v>
      </c>
      <c r="J27" s="12"/>
      <c r="K27" s="12"/>
      <c r="L27" s="12"/>
    </row>
    <row r="28" spans="1:12">
      <c r="A28" s="8">
        <v>202010678</v>
      </c>
      <c r="B28" s="9" t="s">
        <v>35</v>
      </c>
      <c r="C28" s="18" t="s">
        <v>12</v>
      </c>
      <c r="D28" s="18" t="s">
        <v>13</v>
      </c>
      <c r="E28" s="9">
        <v>1000</v>
      </c>
      <c r="F28" s="9">
        <f t="shared" si="0"/>
        <v>12000</v>
      </c>
      <c r="G28" s="10">
        <v>3.51</v>
      </c>
      <c r="H28" s="10">
        <f t="shared" si="1"/>
        <v>3510</v>
      </c>
      <c r="I28" s="11">
        <f t="shared" si="2"/>
        <v>42120</v>
      </c>
      <c r="J28" s="12"/>
      <c r="K28" s="12"/>
      <c r="L28" s="12"/>
    </row>
    <row r="29" spans="1:12">
      <c r="A29" s="8">
        <v>202010694</v>
      </c>
      <c r="B29" s="9" t="s">
        <v>36</v>
      </c>
      <c r="C29" s="18" t="s">
        <v>12</v>
      </c>
      <c r="D29" s="18" t="s">
        <v>13</v>
      </c>
      <c r="E29" s="9">
        <v>900</v>
      </c>
      <c r="F29" s="9">
        <f t="shared" si="0"/>
        <v>10800</v>
      </c>
      <c r="G29" s="10">
        <v>1.85</v>
      </c>
      <c r="H29" s="10">
        <f t="shared" si="1"/>
        <v>1665</v>
      </c>
      <c r="I29" s="11">
        <f t="shared" si="2"/>
        <v>19980</v>
      </c>
      <c r="J29" s="12"/>
      <c r="K29" s="12"/>
      <c r="L29" s="12"/>
    </row>
    <row r="30" spans="1:12">
      <c r="A30" s="8">
        <v>202010708</v>
      </c>
      <c r="B30" s="9" t="s">
        <v>37</v>
      </c>
      <c r="C30" s="18" t="s">
        <v>12</v>
      </c>
      <c r="D30" s="18" t="s">
        <v>13</v>
      </c>
      <c r="E30" s="9">
        <v>60</v>
      </c>
      <c r="F30" s="9">
        <f>E30*12</f>
        <v>720</v>
      </c>
      <c r="G30" s="10">
        <v>15.24</v>
      </c>
      <c r="H30" s="10">
        <f>G30*E30</f>
        <v>914.4</v>
      </c>
      <c r="I30" s="11">
        <f>H30*12</f>
        <v>10972.8</v>
      </c>
      <c r="J30" s="12"/>
      <c r="K30" s="12"/>
      <c r="L30" s="12"/>
    </row>
    <row r="31" spans="1:12">
      <c r="A31" s="8">
        <v>202010767</v>
      </c>
      <c r="B31" s="9" t="s">
        <v>38</v>
      </c>
      <c r="C31" s="18" t="s">
        <v>12</v>
      </c>
      <c r="D31" s="18" t="s">
        <v>13</v>
      </c>
      <c r="E31" s="9">
        <v>500</v>
      </c>
      <c r="F31" s="9">
        <f t="shared" si="0"/>
        <v>6000</v>
      </c>
      <c r="G31" s="10">
        <v>15.24</v>
      </c>
      <c r="H31" s="10">
        <f t="shared" si="1"/>
        <v>7620</v>
      </c>
      <c r="I31" s="11">
        <f t="shared" si="2"/>
        <v>91440</v>
      </c>
      <c r="J31" s="12"/>
      <c r="K31" s="12"/>
      <c r="L31" s="12"/>
    </row>
    <row r="32" spans="1:12">
      <c r="A32" s="8">
        <v>202010422</v>
      </c>
      <c r="B32" s="9" t="s">
        <v>39</v>
      </c>
      <c r="C32" s="18" t="s">
        <v>12</v>
      </c>
      <c r="D32" s="18" t="s">
        <v>13</v>
      </c>
      <c r="E32" s="9">
        <v>230</v>
      </c>
      <c r="F32" s="9">
        <f t="shared" si="0"/>
        <v>2760</v>
      </c>
      <c r="G32" s="10">
        <v>2.0099999999999998</v>
      </c>
      <c r="H32" s="10">
        <f t="shared" si="1"/>
        <v>462.29999999999995</v>
      </c>
      <c r="I32" s="11">
        <f t="shared" si="2"/>
        <v>5547.5999999999995</v>
      </c>
      <c r="J32" s="12"/>
      <c r="K32" s="12"/>
      <c r="L32" s="12"/>
    </row>
    <row r="33" spans="1:12">
      <c r="A33" s="8">
        <v>202020029</v>
      </c>
      <c r="B33" s="9" t="s">
        <v>40</v>
      </c>
      <c r="C33" s="18" t="s">
        <v>12</v>
      </c>
      <c r="D33" s="18" t="s">
        <v>13</v>
      </c>
      <c r="E33" s="9">
        <v>20</v>
      </c>
      <c r="F33" s="9">
        <f t="shared" si="0"/>
        <v>240</v>
      </c>
      <c r="G33" s="10">
        <v>273</v>
      </c>
      <c r="H33" s="10">
        <f t="shared" si="1"/>
        <v>5460</v>
      </c>
      <c r="I33" s="11">
        <f t="shared" si="2"/>
        <v>65520</v>
      </c>
      <c r="J33" s="12"/>
      <c r="K33" s="12"/>
      <c r="L33" s="12"/>
    </row>
    <row r="34" spans="1:12">
      <c r="A34" s="8">
        <v>202020070</v>
      </c>
      <c r="B34" s="69" t="s">
        <v>41</v>
      </c>
      <c r="C34" s="18" t="s">
        <v>12</v>
      </c>
      <c r="D34" s="18" t="s">
        <v>13</v>
      </c>
      <c r="E34" s="9">
        <v>30</v>
      </c>
      <c r="F34" s="9">
        <f t="shared" si="0"/>
        <v>360</v>
      </c>
      <c r="G34" s="13">
        <v>2.73</v>
      </c>
      <c r="H34" s="13">
        <f t="shared" si="1"/>
        <v>81.900000000000006</v>
      </c>
      <c r="I34" s="11">
        <f t="shared" si="2"/>
        <v>982.80000000000007</v>
      </c>
      <c r="J34" s="12"/>
      <c r="K34" s="12"/>
      <c r="L34" s="12"/>
    </row>
    <row r="35" spans="1:12">
      <c r="A35" s="8">
        <v>202020142</v>
      </c>
      <c r="B35" s="9" t="s">
        <v>42</v>
      </c>
      <c r="C35" s="18" t="s">
        <v>12</v>
      </c>
      <c r="D35" s="18" t="s">
        <v>13</v>
      </c>
      <c r="E35" s="9">
        <v>23</v>
      </c>
      <c r="F35" s="9">
        <f t="shared" si="0"/>
        <v>276</v>
      </c>
      <c r="G35" s="13">
        <v>2.73</v>
      </c>
      <c r="H35" s="13">
        <f t="shared" si="1"/>
        <v>62.79</v>
      </c>
      <c r="I35" s="11">
        <f t="shared" si="2"/>
        <v>753.48</v>
      </c>
      <c r="J35" s="12"/>
      <c r="K35" s="12"/>
      <c r="L35" s="12"/>
    </row>
    <row r="36" spans="1:12">
      <c r="A36" s="8">
        <v>202020150</v>
      </c>
      <c r="B36" s="9" t="s">
        <v>43</v>
      </c>
      <c r="C36" s="18" t="s">
        <v>12</v>
      </c>
      <c r="D36" s="18" t="s">
        <v>13</v>
      </c>
      <c r="E36" s="9">
        <v>55</v>
      </c>
      <c r="F36" s="9">
        <f t="shared" si="0"/>
        <v>660</v>
      </c>
      <c r="G36" s="13">
        <v>2.73</v>
      </c>
      <c r="H36" s="13">
        <f t="shared" si="1"/>
        <v>150.15</v>
      </c>
      <c r="I36" s="11">
        <f t="shared" si="2"/>
        <v>1801.8000000000002</v>
      </c>
      <c r="J36" s="12"/>
      <c r="K36" s="12"/>
      <c r="L36" s="12"/>
    </row>
    <row r="37" spans="1:12">
      <c r="A37" s="8">
        <v>202020363</v>
      </c>
      <c r="B37" s="9" t="s">
        <v>44</v>
      </c>
      <c r="C37" s="18" t="s">
        <v>12</v>
      </c>
      <c r="D37" s="18" t="s">
        <v>13</v>
      </c>
      <c r="E37" s="9">
        <v>25</v>
      </c>
      <c r="F37" s="9">
        <f t="shared" si="0"/>
        <v>300</v>
      </c>
      <c r="G37" s="13">
        <v>2.73</v>
      </c>
      <c r="H37" s="13">
        <f t="shared" si="1"/>
        <v>68.25</v>
      </c>
      <c r="I37" s="11">
        <f t="shared" si="2"/>
        <v>819</v>
      </c>
      <c r="J37" s="12"/>
      <c r="K37" s="12"/>
      <c r="L37" s="12"/>
    </row>
    <row r="38" spans="1:12">
      <c r="A38" s="8">
        <v>202020371</v>
      </c>
      <c r="B38" s="9" t="s">
        <v>45</v>
      </c>
      <c r="C38" s="18" t="s">
        <v>12</v>
      </c>
      <c r="D38" s="18" t="s">
        <v>13</v>
      </c>
      <c r="E38" s="9">
        <v>25</v>
      </c>
      <c r="F38" s="9">
        <f t="shared" si="0"/>
        <v>300</v>
      </c>
      <c r="G38" s="13">
        <v>1.53</v>
      </c>
      <c r="H38" s="13">
        <f t="shared" si="1"/>
        <v>38.25</v>
      </c>
      <c r="I38" s="11">
        <f t="shared" si="2"/>
        <v>459</v>
      </c>
      <c r="J38" s="12"/>
      <c r="K38" s="12"/>
      <c r="L38" s="12"/>
    </row>
    <row r="39" spans="1:12">
      <c r="A39" s="8">
        <v>202020380</v>
      </c>
      <c r="B39" s="9" t="s">
        <v>46</v>
      </c>
      <c r="C39" s="18" t="s">
        <v>12</v>
      </c>
      <c r="D39" s="18" t="s">
        <v>13</v>
      </c>
      <c r="E39" s="9">
        <v>1100</v>
      </c>
      <c r="F39" s="9">
        <f t="shared" si="0"/>
        <v>13200</v>
      </c>
      <c r="G39" s="13">
        <v>4.1100000000000003</v>
      </c>
      <c r="H39" s="13">
        <f t="shared" si="1"/>
        <v>4521</v>
      </c>
      <c r="I39" s="11">
        <f t="shared" si="2"/>
        <v>54252</v>
      </c>
      <c r="J39" s="12"/>
      <c r="K39" s="12"/>
      <c r="L39" s="12"/>
    </row>
    <row r="40" spans="1:12">
      <c r="A40" s="8">
        <v>202020398</v>
      </c>
      <c r="B40" s="9" t="s">
        <v>47</v>
      </c>
      <c r="C40" s="18" t="s">
        <v>12</v>
      </c>
      <c r="D40" s="18" t="s">
        <v>13</v>
      </c>
      <c r="E40" s="9">
        <v>20</v>
      </c>
      <c r="F40" s="9">
        <f t="shared" si="0"/>
        <v>240</v>
      </c>
      <c r="G40" s="13">
        <v>2.73</v>
      </c>
      <c r="H40" s="13">
        <f t="shared" si="1"/>
        <v>54.6</v>
      </c>
      <c r="I40" s="11">
        <f t="shared" si="2"/>
        <v>655.20000000000005</v>
      </c>
      <c r="J40" s="12"/>
      <c r="K40" s="12"/>
      <c r="L40" s="12"/>
    </row>
    <row r="41" spans="1:12">
      <c r="A41" s="8">
        <v>202030300</v>
      </c>
      <c r="B41" s="9" t="s">
        <v>48</v>
      </c>
      <c r="C41" s="18" t="s">
        <v>12</v>
      </c>
      <c r="D41" s="18" t="s">
        <v>13</v>
      </c>
      <c r="E41" s="9">
        <v>168</v>
      </c>
      <c r="F41" s="9">
        <f t="shared" si="0"/>
        <v>2016</v>
      </c>
      <c r="G41" s="13">
        <v>10</v>
      </c>
      <c r="H41" s="10">
        <f t="shared" si="1"/>
        <v>1680</v>
      </c>
      <c r="I41" s="11">
        <f t="shared" si="2"/>
        <v>20160</v>
      </c>
      <c r="J41" s="12"/>
      <c r="K41" s="12"/>
      <c r="L41" s="12"/>
    </row>
    <row r="42" spans="1:12">
      <c r="A42" s="8">
        <v>202030679</v>
      </c>
      <c r="B42" s="9" t="s">
        <v>49</v>
      </c>
      <c r="C42" s="18" t="s">
        <v>12</v>
      </c>
      <c r="D42" s="18" t="s">
        <v>13</v>
      </c>
      <c r="E42" s="9">
        <v>118</v>
      </c>
      <c r="F42" s="9">
        <f t="shared" si="0"/>
        <v>1416</v>
      </c>
      <c r="G42" s="10">
        <v>18.55</v>
      </c>
      <c r="H42" s="10">
        <f t="shared" si="1"/>
        <v>2188.9</v>
      </c>
      <c r="I42" s="11">
        <f t="shared" si="2"/>
        <v>26266.800000000003</v>
      </c>
      <c r="J42" s="12"/>
      <c r="K42" s="12"/>
      <c r="L42" s="12"/>
    </row>
    <row r="43" spans="1:12">
      <c r="A43" s="8">
        <v>202030075</v>
      </c>
      <c r="B43" s="9" t="s">
        <v>50</v>
      </c>
      <c r="C43" s="18" t="s">
        <v>12</v>
      </c>
      <c r="D43" s="18" t="s">
        <v>13</v>
      </c>
      <c r="E43" s="9">
        <v>40</v>
      </c>
      <c r="F43" s="9">
        <f t="shared" si="0"/>
        <v>480</v>
      </c>
      <c r="G43" s="13">
        <v>2.83</v>
      </c>
      <c r="H43" s="13">
        <f t="shared" si="1"/>
        <v>113.2</v>
      </c>
      <c r="I43" s="11">
        <f t="shared" si="2"/>
        <v>1358.4</v>
      </c>
      <c r="J43" s="12"/>
      <c r="K43" s="12"/>
      <c r="L43" s="12"/>
    </row>
    <row r="44" spans="1:12">
      <c r="A44" s="8">
        <v>202030083</v>
      </c>
      <c r="B44" s="9" t="s">
        <v>51</v>
      </c>
      <c r="C44" s="18" t="s">
        <v>12</v>
      </c>
      <c r="D44" s="18" t="s">
        <v>13</v>
      </c>
      <c r="E44" s="9">
        <v>99</v>
      </c>
      <c r="F44" s="9">
        <f t="shared" si="0"/>
        <v>1188</v>
      </c>
      <c r="G44" s="13">
        <v>9.25</v>
      </c>
      <c r="H44" s="13">
        <f t="shared" si="1"/>
        <v>915.75</v>
      </c>
      <c r="I44" s="11">
        <f t="shared" si="2"/>
        <v>10989</v>
      </c>
      <c r="J44" s="12"/>
      <c r="K44" s="12"/>
      <c r="L44" s="12"/>
    </row>
    <row r="45" spans="1:12">
      <c r="A45" s="8">
        <v>202030105</v>
      </c>
      <c r="B45" s="9" t="s">
        <v>52</v>
      </c>
      <c r="C45" s="18" t="s">
        <v>12</v>
      </c>
      <c r="D45" s="18" t="s">
        <v>13</v>
      </c>
      <c r="E45" s="9">
        <v>60</v>
      </c>
      <c r="F45" s="9">
        <f t="shared" si="0"/>
        <v>720</v>
      </c>
      <c r="G45" s="13">
        <v>16.420000000000002</v>
      </c>
      <c r="H45" s="13">
        <f t="shared" si="1"/>
        <v>985.2</v>
      </c>
      <c r="I45" s="11">
        <f t="shared" si="2"/>
        <v>11822.400000000001</v>
      </c>
      <c r="J45" s="12"/>
      <c r="K45" s="12"/>
      <c r="L45" s="12"/>
    </row>
    <row r="46" spans="1:12">
      <c r="A46" s="8">
        <v>202030474</v>
      </c>
      <c r="B46" s="9" t="s">
        <v>53</v>
      </c>
      <c r="C46" s="18" t="s">
        <v>12</v>
      </c>
      <c r="D46" s="18" t="s">
        <v>13</v>
      </c>
      <c r="E46" s="9">
        <v>20</v>
      </c>
      <c r="F46" s="9">
        <f t="shared" si="0"/>
        <v>240</v>
      </c>
      <c r="G46" s="13">
        <v>2.83</v>
      </c>
      <c r="H46" s="13">
        <f t="shared" si="1"/>
        <v>56.6</v>
      </c>
      <c r="I46" s="11">
        <f t="shared" si="2"/>
        <v>679.2</v>
      </c>
      <c r="J46" s="12"/>
      <c r="K46" s="12"/>
      <c r="L46" s="12"/>
    </row>
    <row r="47" spans="1:12">
      <c r="A47" s="8">
        <v>202031110</v>
      </c>
      <c r="B47" s="9" t="s">
        <v>54</v>
      </c>
      <c r="C47" s="18" t="s">
        <v>12</v>
      </c>
      <c r="D47" s="18" t="s">
        <v>13</v>
      </c>
      <c r="E47" s="9">
        <v>250</v>
      </c>
      <c r="F47" s="9">
        <f t="shared" si="0"/>
        <v>3000</v>
      </c>
      <c r="G47" s="13">
        <v>2.83</v>
      </c>
      <c r="H47" s="13">
        <f t="shared" si="1"/>
        <v>707.5</v>
      </c>
      <c r="I47" s="11">
        <f t="shared" si="2"/>
        <v>8490</v>
      </c>
      <c r="J47" s="12"/>
      <c r="K47" s="12"/>
      <c r="L47" s="12"/>
    </row>
    <row r="48" spans="1:12">
      <c r="A48" s="8">
        <v>202050017</v>
      </c>
      <c r="B48" s="9" t="s">
        <v>55</v>
      </c>
      <c r="C48" s="18" t="s">
        <v>12</v>
      </c>
      <c r="D48" s="18" t="s">
        <v>13</v>
      </c>
      <c r="E48" s="9">
        <v>856</v>
      </c>
      <c r="F48" s="9">
        <f t="shared" si="0"/>
        <v>10272</v>
      </c>
      <c r="G48" s="13">
        <v>3.7</v>
      </c>
      <c r="H48" s="13">
        <f t="shared" si="1"/>
        <v>3167.2000000000003</v>
      </c>
      <c r="I48" s="11">
        <f t="shared" si="2"/>
        <v>38006.400000000001</v>
      </c>
      <c r="J48" s="12"/>
      <c r="K48" s="12"/>
      <c r="L48" s="12"/>
    </row>
    <row r="49" spans="1:12">
      <c r="A49" s="8">
        <v>202060160</v>
      </c>
      <c r="B49" s="69" t="s">
        <v>56</v>
      </c>
      <c r="C49" s="18" t="s">
        <v>12</v>
      </c>
      <c r="D49" s="18" t="s">
        <v>13</v>
      </c>
      <c r="E49" s="9">
        <v>35</v>
      </c>
      <c r="F49" s="9">
        <f t="shared" si="0"/>
        <v>420</v>
      </c>
      <c r="G49" s="13">
        <v>10.15</v>
      </c>
      <c r="H49" s="13">
        <f t="shared" si="1"/>
        <v>355.25</v>
      </c>
      <c r="I49" s="11">
        <f t="shared" si="2"/>
        <v>4263</v>
      </c>
      <c r="J49" s="12"/>
      <c r="K49" s="12"/>
      <c r="L49" s="12"/>
    </row>
    <row r="50" spans="1:12">
      <c r="A50" s="8">
        <v>202060217</v>
      </c>
      <c r="B50" s="69" t="s">
        <v>57</v>
      </c>
      <c r="C50" s="18" t="s">
        <v>12</v>
      </c>
      <c r="D50" s="18" t="s">
        <v>13</v>
      </c>
      <c r="E50" s="9">
        <v>15</v>
      </c>
      <c r="F50" s="9">
        <f>E50*12</f>
        <v>180</v>
      </c>
      <c r="G50" s="10">
        <v>7.85</v>
      </c>
      <c r="H50" s="10">
        <f>G50*E50</f>
        <v>117.75</v>
      </c>
      <c r="I50" s="11">
        <f>H50*12</f>
        <v>1413</v>
      </c>
      <c r="J50" s="12"/>
      <c r="K50" s="12"/>
      <c r="L50" s="12"/>
    </row>
    <row r="51" spans="1:12">
      <c r="A51" s="8">
        <v>202060250</v>
      </c>
      <c r="B51" s="69" t="s">
        <v>58</v>
      </c>
      <c r="C51" s="18" t="s">
        <v>12</v>
      </c>
      <c r="D51" s="18" t="s">
        <v>13</v>
      </c>
      <c r="E51" s="9">
        <v>777</v>
      </c>
      <c r="F51" s="9">
        <f>E51*12</f>
        <v>9324</v>
      </c>
      <c r="G51" s="10">
        <v>8.9600000000000009</v>
      </c>
      <c r="H51" s="10">
        <f>G51*E51</f>
        <v>6961.920000000001</v>
      </c>
      <c r="I51" s="11">
        <f>H51*12</f>
        <v>83543.040000000008</v>
      </c>
      <c r="J51" s="12"/>
      <c r="K51" s="12"/>
      <c r="L51" s="12"/>
    </row>
    <row r="52" spans="1:12">
      <c r="A52" s="8">
        <v>202060233</v>
      </c>
      <c r="B52" s="69" t="s">
        <v>59</v>
      </c>
      <c r="C52" s="18" t="s">
        <v>12</v>
      </c>
      <c r="D52" s="18" t="s">
        <v>13</v>
      </c>
      <c r="E52" s="9">
        <v>85</v>
      </c>
      <c r="F52" s="9">
        <f t="shared" si="0"/>
        <v>1020</v>
      </c>
      <c r="G52" s="13">
        <v>7.89</v>
      </c>
      <c r="H52" s="13">
        <f t="shared" si="1"/>
        <v>670.65</v>
      </c>
      <c r="I52" s="11">
        <f t="shared" si="2"/>
        <v>8047.7999999999993</v>
      </c>
      <c r="J52" s="12"/>
      <c r="K52" s="12"/>
      <c r="L52" s="12"/>
    </row>
    <row r="53" spans="1:12">
      <c r="A53" s="8">
        <v>202060381</v>
      </c>
      <c r="B53" s="69" t="s">
        <v>60</v>
      </c>
      <c r="C53" s="18" t="s">
        <v>12</v>
      </c>
      <c r="D53" s="18" t="s">
        <v>13</v>
      </c>
      <c r="E53" s="9">
        <v>565</v>
      </c>
      <c r="F53" s="9">
        <f t="shared" si="0"/>
        <v>6780</v>
      </c>
      <c r="G53" s="13">
        <v>11.6</v>
      </c>
      <c r="H53" s="13">
        <f t="shared" si="1"/>
        <v>6554</v>
      </c>
      <c r="I53" s="11">
        <f t="shared" si="2"/>
        <v>78648</v>
      </c>
      <c r="J53" s="12"/>
      <c r="K53" s="12"/>
      <c r="L53" s="12"/>
    </row>
    <row r="54" spans="1:12">
      <c r="A54" s="8">
        <v>202060241</v>
      </c>
      <c r="B54" s="69" t="s">
        <v>61</v>
      </c>
      <c r="C54" s="18" t="s">
        <v>12</v>
      </c>
      <c r="D54" s="18" t="s">
        <v>13</v>
      </c>
      <c r="E54" s="9">
        <v>67</v>
      </c>
      <c r="F54" s="9">
        <f t="shared" si="0"/>
        <v>804</v>
      </c>
      <c r="G54" s="13">
        <v>8.9700000000000006</v>
      </c>
      <c r="H54" s="13">
        <f t="shared" si="1"/>
        <v>600.99</v>
      </c>
      <c r="I54" s="11">
        <f t="shared" si="2"/>
        <v>7211.88</v>
      </c>
      <c r="J54" s="12"/>
      <c r="K54" s="12"/>
      <c r="L54" s="12"/>
    </row>
    <row r="55" spans="1:12">
      <c r="A55" s="8">
        <v>202060268</v>
      </c>
      <c r="B55" s="79" t="s">
        <v>62</v>
      </c>
      <c r="C55" s="18" t="s">
        <v>12</v>
      </c>
      <c r="D55" s="18" t="s">
        <v>13</v>
      </c>
      <c r="E55" s="9">
        <v>55</v>
      </c>
      <c r="F55" s="9">
        <f>E55*12</f>
        <v>660</v>
      </c>
      <c r="G55" s="10">
        <v>10.17</v>
      </c>
      <c r="H55" s="10">
        <f>G55*E55</f>
        <v>559.35</v>
      </c>
      <c r="I55" s="11">
        <f>H55*12</f>
        <v>6712.2000000000007</v>
      </c>
      <c r="J55" s="12"/>
      <c r="K55" s="12"/>
      <c r="L55" s="12"/>
    </row>
    <row r="56" spans="1:12">
      <c r="A56" s="8">
        <v>202060292</v>
      </c>
      <c r="B56" s="69" t="s">
        <v>63</v>
      </c>
      <c r="C56" s="18" t="s">
        <v>12</v>
      </c>
      <c r="D56" s="18" t="s">
        <v>13</v>
      </c>
      <c r="E56" s="9">
        <v>50</v>
      </c>
      <c r="F56" s="9">
        <f t="shared" si="0"/>
        <v>600</v>
      </c>
      <c r="G56" s="13">
        <v>10.220000000000001</v>
      </c>
      <c r="H56" s="13">
        <f t="shared" si="1"/>
        <v>511.00000000000006</v>
      </c>
      <c r="I56" s="11">
        <f t="shared" si="2"/>
        <v>6132.0000000000009</v>
      </c>
      <c r="J56" s="12"/>
      <c r="K56" s="12"/>
      <c r="L56" s="12"/>
    </row>
    <row r="57" spans="1:12">
      <c r="A57" s="8">
        <v>202060306</v>
      </c>
      <c r="B57" s="69" t="s">
        <v>64</v>
      </c>
      <c r="C57" s="18" t="s">
        <v>12</v>
      </c>
      <c r="D57" s="18" t="s">
        <v>13</v>
      </c>
      <c r="E57" s="9">
        <v>40</v>
      </c>
      <c r="F57" s="9">
        <f t="shared" si="0"/>
        <v>480</v>
      </c>
      <c r="G57" s="13">
        <v>10.15</v>
      </c>
      <c r="H57" s="13">
        <f t="shared" si="1"/>
        <v>406</v>
      </c>
      <c r="I57" s="11">
        <f t="shared" si="2"/>
        <v>4872</v>
      </c>
      <c r="J57" s="12"/>
      <c r="K57" s="12"/>
      <c r="L57" s="12"/>
    </row>
    <row r="58" spans="1:12">
      <c r="A58" s="8">
        <v>202060349</v>
      </c>
      <c r="B58" s="69" t="s">
        <v>65</v>
      </c>
      <c r="C58" s="18" t="s">
        <v>12</v>
      </c>
      <c r="D58" s="18" t="s">
        <v>13</v>
      </c>
      <c r="E58" s="9">
        <v>10</v>
      </c>
      <c r="F58" s="9">
        <f t="shared" si="0"/>
        <v>120</v>
      </c>
      <c r="G58" s="13">
        <v>10.43</v>
      </c>
      <c r="H58" s="13">
        <f t="shared" si="1"/>
        <v>104.3</v>
      </c>
      <c r="I58" s="11">
        <f t="shared" si="2"/>
        <v>1251.5999999999999</v>
      </c>
      <c r="J58" s="12"/>
      <c r="K58" s="12"/>
      <c r="L58" s="12"/>
    </row>
    <row r="59" spans="1:12">
      <c r="A59" s="8">
        <v>202060357</v>
      </c>
      <c r="B59" s="69" t="s">
        <v>66</v>
      </c>
      <c r="C59" s="18" t="s">
        <v>12</v>
      </c>
      <c r="D59" s="18" t="s">
        <v>13</v>
      </c>
      <c r="E59" s="9">
        <v>10</v>
      </c>
      <c r="F59" s="9">
        <f t="shared" si="0"/>
        <v>120</v>
      </c>
      <c r="G59" s="13">
        <v>13.11</v>
      </c>
      <c r="H59" s="13">
        <f t="shared" si="1"/>
        <v>131.1</v>
      </c>
      <c r="I59" s="11">
        <f t="shared" si="2"/>
        <v>1573.1999999999998</v>
      </c>
      <c r="J59" s="12"/>
      <c r="K59" s="12"/>
      <c r="L59" s="12"/>
    </row>
    <row r="60" spans="1:12">
      <c r="A60" s="8">
        <v>202060373</v>
      </c>
      <c r="B60" s="69" t="s">
        <v>67</v>
      </c>
      <c r="C60" s="18" t="s">
        <v>12</v>
      </c>
      <c r="D60" s="18" t="s">
        <v>13</v>
      </c>
      <c r="E60" s="9">
        <v>280</v>
      </c>
      <c r="F60" s="9">
        <f t="shared" si="0"/>
        <v>3360</v>
      </c>
      <c r="G60" s="13">
        <v>8.76</v>
      </c>
      <c r="H60" s="13">
        <f t="shared" si="1"/>
        <v>2452.7999999999997</v>
      </c>
      <c r="I60" s="11">
        <f t="shared" si="2"/>
        <v>29433.599999999999</v>
      </c>
      <c r="J60" s="12"/>
      <c r="K60" s="12"/>
      <c r="L60" s="12"/>
    </row>
    <row r="61" spans="1:12">
      <c r="A61" s="8">
        <v>202060390</v>
      </c>
      <c r="B61" s="69" t="s">
        <v>68</v>
      </c>
      <c r="C61" s="18" t="s">
        <v>12</v>
      </c>
      <c r="D61" s="18" t="s">
        <v>13</v>
      </c>
      <c r="E61" s="9">
        <v>200</v>
      </c>
      <c r="F61" s="9">
        <f t="shared" si="0"/>
        <v>2400</v>
      </c>
      <c r="G61" s="13">
        <v>8.7100000000000009</v>
      </c>
      <c r="H61" s="13">
        <f t="shared" si="1"/>
        <v>1742.0000000000002</v>
      </c>
      <c r="I61" s="11">
        <f t="shared" si="2"/>
        <v>20904.000000000004</v>
      </c>
      <c r="J61" s="12"/>
      <c r="K61" s="12"/>
      <c r="L61" s="12"/>
    </row>
    <row r="62" spans="1:12">
      <c r="A62" s="8">
        <v>202120023</v>
      </c>
      <c r="B62" s="69" t="s">
        <v>69</v>
      </c>
      <c r="C62" s="18" t="s">
        <v>12</v>
      </c>
      <c r="D62" s="18" t="s">
        <v>13</v>
      </c>
      <c r="E62" s="9">
        <v>50</v>
      </c>
      <c r="F62" s="9">
        <f t="shared" si="0"/>
        <v>600</v>
      </c>
      <c r="G62" s="13">
        <v>1.37</v>
      </c>
      <c r="H62" s="13">
        <f t="shared" si="1"/>
        <v>68.5</v>
      </c>
      <c r="I62" s="11">
        <f t="shared" si="2"/>
        <v>822</v>
      </c>
      <c r="J62" s="12"/>
      <c r="K62" s="12"/>
      <c r="L62" s="12"/>
    </row>
    <row r="63" spans="1:12">
      <c r="A63" s="8">
        <v>202120082</v>
      </c>
      <c r="B63" s="69" t="s">
        <v>70</v>
      </c>
      <c r="C63" s="18" t="s">
        <v>12</v>
      </c>
      <c r="D63" s="18" t="s">
        <v>13</v>
      </c>
      <c r="E63" s="9">
        <v>53</v>
      </c>
      <c r="F63" s="9">
        <f t="shared" si="0"/>
        <v>636</v>
      </c>
      <c r="G63" s="10">
        <v>1.37</v>
      </c>
      <c r="H63" s="10">
        <f t="shared" si="1"/>
        <v>72.61</v>
      </c>
      <c r="I63" s="11">
        <f t="shared" si="2"/>
        <v>871.31999999999994</v>
      </c>
      <c r="J63" s="12"/>
      <c r="K63" s="12"/>
      <c r="L63" s="12"/>
    </row>
    <row r="64" spans="1:12">
      <c r="A64" s="178" t="s">
        <v>71</v>
      </c>
      <c r="B64" s="179"/>
      <c r="C64" s="179"/>
      <c r="D64" s="179"/>
      <c r="E64" s="2">
        <f>SUM(E6:E63)</f>
        <v>17382</v>
      </c>
      <c r="F64" s="2">
        <f>SUM(F6:F63)</f>
        <v>208584</v>
      </c>
      <c r="G64" s="2"/>
      <c r="H64" s="3">
        <f>SUM(H6:H63)</f>
        <v>85165.920000000027</v>
      </c>
      <c r="I64" s="3">
        <f>SUM(I6:I63)</f>
        <v>1021991.0399999999</v>
      </c>
      <c r="J64" s="12"/>
      <c r="K64" s="12"/>
      <c r="L64" s="12"/>
    </row>
    <row r="65" spans="1:12">
      <c r="A65" s="47"/>
      <c r="B65" s="48"/>
      <c r="C65" s="48"/>
      <c r="D65" s="48"/>
      <c r="E65" s="48"/>
      <c r="F65" s="48"/>
      <c r="G65" s="48"/>
      <c r="H65" s="49"/>
      <c r="I65" s="49"/>
      <c r="J65" s="12"/>
      <c r="K65" s="12"/>
      <c r="L65" s="12"/>
    </row>
    <row r="66" spans="1:12">
      <c r="A66" s="47"/>
      <c r="B66" s="48"/>
      <c r="C66" s="48"/>
      <c r="D66" s="48"/>
      <c r="E66" s="48"/>
      <c r="F66" s="48"/>
      <c r="G66" s="48"/>
      <c r="H66" s="49"/>
      <c r="I66" s="49"/>
      <c r="J66" s="12"/>
      <c r="K66" s="12"/>
      <c r="L66" s="12"/>
    </row>
    <row r="67" spans="1:12">
      <c r="A67" s="185" t="str">
        <f>UPPER("SUBGRUPO   04   Diagnóstico POR RADIOLOGIA")</f>
        <v>SUBGRUPO   04   DIAGNÓSTICO POR RADIOLOGIA</v>
      </c>
      <c r="B67" s="186"/>
      <c r="C67" s="186"/>
      <c r="D67" s="186"/>
      <c r="E67" s="186"/>
      <c r="F67" s="186"/>
      <c r="G67" s="186"/>
      <c r="H67" s="186"/>
      <c r="I67" s="187"/>
    </row>
    <row r="68" spans="1:12">
      <c r="A68" s="8">
        <v>204030188</v>
      </c>
      <c r="B68" s="9" t="s">
        <v>72</v>
      </c>
      <c r="C68" s="18" t="s">
        <v>12</v>
      </c>
      <c r="D68" s="18" t="s">
        <v>13</v>
      </c>
      <c r="E68" s="9">
        <v>300</v>
      </c>
      <c r="F68" s="9">
        <f t="shared" ref="F68:F147" si="3">E68*12</f>
        <v>3600</v>
      </c>
      <c r="G68" s="10">
        <v>45</v>
      </c>
      <c r="H68" s="10">
        <f>G68*E68</f>
        <v>13500</v>
      </c>
      <c r="I68" s="11">
        <f t="shared" ref="I68:I147" si="4">H68*12</f>
        <v>162000</v>
      </c>
    </row>
    <row r="69" spans="1:12">
      <c r="A69" s="8">
        <v>204060028</v>
      </c>
      <c r="B69" s="9" t="s">
        <v>73</v>
      </c>
      <c r="C69" s="18" t="s">
        <v>74</v>
      </c>
      <c r="D69" s="18" t="s">
        <v>13</v>
      </c>
      <c r="E69" s="9">
        <v>400</v>
      </c>
      <c r="F69" s="9">
        <f t="shared" si="3"/>
        <v>4800</v>
      </c>
      <c r="G69" s="10">
        <v>55.1</v>
      </c>
      <c r="H69" s="10">
        <f>G69*E69</f>
        <v>22040</v>
      </c>
      <c r="I69" s="11">
        <f t="shared" si="4"/>
        <v>264480</v>
      </c>
    </row>
    <row r="70" spans="1:12">
      <c r="A70" s="178" t="s">
        <v>75</v>
      </c>
      <c r="B70" s="178"/>
      <c r="C70" s="178"/>
      <c r="D70" s="178"/>
      <c r="E70" s="2">
        <f>SUM(E68:E69)</f>
        <v>700</v>
      </c>
      <c r="F70" s="2">
        <f>SUM(F68:F69)</f>
        <v>8400</v>
      </c>
      <c r="G70" s="2"/>
      <c r="H70" s="3">
        <f>SUM(H68:H69)</f>
        <v>35540</v>
      </c>
      <c r="I70" s="3">
        <f>SUM(I68:I69)</f>
        <v>426480</v>
      </c>
      <c r="K70" s="12"/>
    </row>
    <row r="71" spans="1:12">
      <c r="A71" s="47"/>
      <c r="B71" s="47"/>
      <c r="C71" s="47"/>
      <c r="D71" s="47"/>
      <c r="E71" s="48"/>
      <c r="F71" s="48"/>
      <c r="G71" s="48"/>
      <c r="H71" s="49"/>
      <c r="I71" s="49"/>
      <c r="K71" s="12"/>
    </row>
    <row r="72" spans="1:12">
      <c r="A72" s="47"/>
      <c r="B72" s="47"/>
      <c r="C72" s="47"/>
      <c r="D72" s="47"/>
      <c r="E72" s="48"/>
      <c r="F72" s="48"/>
      <c r="G72" s="48"/>
      <c r="H72" s="49"/>
      <c r="I72" s="49"/>
      <c r="K72" s="12"/>
    </row>
    <row r="73" spans="1:12">
      <c r="A73" s="47"/>
      <c r="B73" s="48"/>
      <c r="C73" s="48"/>
      <c r="D73" s="48"/>
      <c r="E73" s="48"/>
      <c r="F73" s="48"/>
      <c r="G73" s="48"/>
      <c r="H73" s="49"/>
      <c r="I73" s="49"/>
    </row>
    <row r="74" spans="1:12">
      <c r="A74" s="47"/>
      <c r="B74" s="48"/>
      <c r="C74" s="48"/>
      <c r="D74" s="48"/>
      <c r="E74" s="48"/>
      <c r="F74" s="48"/>
      <c r="G74" s="48"/>
      <c r="H74" s="49"/>
      <c r="I74" s="49"/>
    </row>
    <row r="75" spans="1:12">
      <c r="A75" s="188" t="str">
        <f>UPPER("SUBGRUPO   05  Diagnóstico por ultrasonografia")</f>
        <v>SUBGRUPO   05  DIAGNÓSTICO POR ULTRASONOGRAFIA</v>
      </c>
      <c r="B75" s="189"/>
      <c r="C75" s="189"/>
      <c r="D75" s="189"/>
      <c r="E75" s="189"/>
      <c r="F75" s="189"/>
      <c r="G75" s="189"/>
      <c r="H75" s="189"/>
      <c r="I75" s="190"/>
    </row>
    <row r="76" spans="1:12">
      <c r="A76" s="8">
        <v>205010032</v>
      </c>
      <c r="B76" s="9" t="s">
        <v>76</v>
      </c>
      <c r="C76" s="18" t="s">
        <v>12</v>
      </c>
      <c r="D76" s="18" t="s">
        <v>13</v>
      </c>
      <c r="E76" s="9">
        <v>40</v>
      </c>
      <c r="F76" s="9">
        <f t="shared" si="3"/>
        <v>480</v>
      </c>
      <c r="G76" s="10">
        <v>67.86</v>
      </c>
      <c r="H76" s="10">
        <f>G76*E76</f>
        <v>2714.4</v>
      </c>
      <c r="I76" s="11">
        <f t="shared" si="4"/>
        <v>32572.800000000003</v>
      </c>
      <c r="L76" s="12"/>
    </row>
    <row r="77" spans="1:12">
      <c r="A77" s="178" t="s">
        <v>77</v>
      </c>
      <c r="B77" s="178"/>
      <c r="C77" s="178"/>
      <c r="D77" s="178"/>
      <c r="E77" s="2">
        <f>SUM(E75:E76)</f>
        <v>40</v>
      </c>
      <c r="F77" s="2">
        <f>SUM(F75:F76)</f>
        <v>480</v>
      </c>
      <c r="G77" s="2"/>
      <c r="H77" s="3">
        <f>SUM(H75:H76)</f>
        <v>2714.4</v>
      </c>
      <c r="I77" s="3">
        <f>SUM(I75:I76)</f>
        <v>32572.800000000003</v>
      </c>
      <c r="L77" s="77"/>
    </row>
    <row r="78" spans="1:12">
      <c r="A78" s="47"/>
      <c r="B78" s="48"/>
      <c r="C78" s="48"/>
      <c r="D78" s="48"/>
      <c r="E78" s="48"/>
      <c r="F78" s="48"/>
      <c r="G78" s="48"/>
      <c r="H78" s="49"/>
      <c r="I78" s="49"/>
      <c r="L78" s="77"/>
    </row>
    <row r="79" spans="1:12">
      <c r="A79" s="47"/>
      <c r="B79" s="48"/>
      <c r="C79" s="48"/>
      <c r="D79" s="48"/>
      <c r="E79" s="48"/>
      <c r="F79" s="48"/>
      <c r="G79" s="48"/>
      <c r="H79" s="49"/>
      <c r="I79" s="49"/>
      <c r="L79" s="78"/>
    </row>
    <row r="80" spans="1:12">
      <c r="A80" s="191" t="str">
        <f>UPPER("SUBGRUPO   06  Diagnóstico por tomografia")</f>
        <v>SUBGRUPO   06  DIAGNÓSTICO POR TOMOGRAFIA</v>
      </c>
      <c r="B80" s="192"/>
      <c r="C80" s="192"/>
      <c r="D80" s="192"/>
      <c r="E80" s="192"/>
      <c r="F80" s="192"/>
      <c r="G80" s="192"/>
      <c r="H80" s="192"/>
      <c r="I80" s="193"/>
      <c r="L80" s="12"/>
    </row>
    <row r="81" spans="1:12">
      <c r="A81" s="8">
        <v>206010010</v>
      </c>
      <c r="B81" s="9" t="s">
        <v>78</v>
      </c>
      <c r="C81" s="18" t="s">
        <v>74</v>
      </c>
      <c r="D81" s="18" t="s">
        <v>13</v>
      </c>
      <c r="E81" s="9">
        <v>30</v>
      </c>
      <c r="F81" s="9">
        <f t="shared" si="3"/>
        <v>360</v>
      </c>
      <c r="G81" s="10">
        <v>86.76</v>
      </c>
      <c r="H81" s="10">
        <f t="shared" ref="H81:H93" si="5">G81*E81</f>
        <v>2602.8000000000002</v>
      </c>
      <c r="I81" s="11">
        <f t="shared" si="4"/>
        <v>31233.600000000002</v>
      </c>
    </row>
    <row r="82" spans="1:12">
      <c r="A82" s="8">
        <v>206010028</v>
      </c>
      <c r="B82" s="9" t="s">
        <v>79</v>
      </c>
      <c r="C82" s="18" t="s">
        <v>74</v>
      </c>
      <c r="D82" s="18" t="s">
        <v>13</v>
      </c>
      <c r="E82" s="9">
        <v>130</v>
      </c>
      <c r="F82" s="9">
        <f t="shared" si="3"/>
        <v>1560</v>
      </c>
      <c r="G82" s="10">
        <v>101.1</v>
      </c>
      <c r="H82" s="10">
        <f t="shared" si="5"/>
        <v>13143</v>
      </c>
      <c r="I82" s="11">
        <f t="shared" si="4"/>
        <v>157716</v>
      </c>
    </row>
    <row r="83" spans="1:12">
      <c r="A83" s="8">
        <v>206010036</v>
      </c>
      <c r="B83" s="9" t="s">
        <v>80</v>
      </c>
      <c r="C83" s="18" t="s">
        <v>74</v>
      </c>
      <c r="D83" s="18" t="s">
        <v>13</v>
      </c>
      <c r="E83" s="9">
        <v>35</v>
      </c>
      <c r="F83" s="9">
        <f t="shared" si="3"/>
        <v>420</v>
      </c>
      <c r="G83" s="10">
        <v>86.76</v>
      </c>
      <c r="H83" s="10">
        <f t="shared" si="5"/>
        <v>3036.6000000000004</v>
      </c>
      <c r="I83" s="11">
        <f t="shared" si="4"/>
        <v>36439.200000000004</v>
      </c>
    </row>
    <row r="84" spans="1:12">
      <c r="A84" s="8">
        <v>206010044</v>
      </c>
      <c r="B84" s="9" t="s">
        <v>81</v>
      </c>
      <c r="C84" s="18" t="s">
        <v>74</v>
      </c>
      <c r="D84" s="18" t="s">
        <v>13</v>
      </c>
      <c r="E84" s="9">
        <v>27</v>
      </c>
      <c r="F84" s="9">
        <f t="shared" si="3"/>
        <v>324</v>
      </c>
      <c r="G84" s="10">
        <v>86.75</v>
      </c>
      <c r="H84" s="10">
        <f t="shared" si="5"/>
        <v>2342.25</v>
      </c>
      <c r="I84" s="11">
        <f t="shared" si="4"/>
        <v>28107</v>
      </c>
    </row>
    <row r="85" spans="1:12">
      <c r="A85" s="8">
        <v>206010052</v>
      </c>
      <c r="B85" s="9" t="s">
        <v>82</v>
      </c>
      <c r="C85" s="18" t="s">
        <v>74</v>
      </c>
      <c r="D85" s="18" t="s">
        <v>13</v>
      </c>
      <c r="E85" s="9">
        <v>20</v>
      </c>
      <c r="F85" s="9">
        <f t="shared" si="3"/>
        <v>240</v>
      </c>
      <c r="G85" s="10">
        <v>86.75</v>
      </c>
      <c r="H85" s="10">
        <f t="shared" si="5"/>
        <v>1735</v>
      </c>
      <c r="I85" s="11">
        <f t="shared" si="4"/>
        <v>20820</v>
      </c>
    </row>
    <row r="86" spans="1:12">
      <c r="A86" s="8">
        <v>206010060</v>
      </c>
      <c r="B86" s="9" t="s">
        <v>83</v>
      </c>
      <c r="C86" s="18" t="s">
        <v>74</v>
      </c>
      <c r="D86" s="18" t="s">
        <v>13</v>
      </c>
      <c r="E86" s="9">
        <v>10</v>
      </c>
      <c r="F86" s="9">
        <f t="shared" si="3"/>
        <v>120</v>
      </c>
      <c r="G86" s="10">
        <v>97.44</v>
      </c>
      <c r="H86" s="10">
        <f t="shared" si="5"/>
        <v>974.4</v>
      </c>
      <c r="I86" s="11">
        <f t="shared" si="4"/>
        <v>11692.8</v>
      </c>
    </row>
    <row r="87" spans="1:12">
      <c r="A87" s="8">
        <v>206010079</v>
      </c>
      <c r="B87" s="9" t="s">
        <v>84</v>
      </c>
      <c r="C87" s="18" t="s">
        <v>74</v>
      </c>
      <c r="D87" s="18" t="s">
        <v>13</v>
      </c>
      <c r="E87" s="9">
        <v>118</v>
      </c>
      <c r="F87" s="9">
        <f t="shared" si="3"/>
        <v>1416</v>
      </c>
      <c r="G87" s="10">
        <v>97.44</v>
      </c>
      <c r="H87" s="10">
        <f t="shared" si="5"/>
        <v>11497.92</v>
      </c>
      <c r="I87" s="11">
        <f t="shared" si="4"/>
        <v>137975.04000000001</v>
      </c>
    </row>
    <row r="88" spans="1:12">
      <c r="A88" s="8">
        <v>206020015</v>
      </c>
      <c r="B88" s="9" t="s">
        <v>85</v>
      </c>
      <c r="C88" s="18" t="s">
        <v>74</v>
      </c>
      <c r="D88" s="18" t="s">
        <v>13</v>
      </c>
      <c r="E88" s="9">
        <v>20</v>
      </c>
      <c r="F88" s="9">
        <f t="shared" si="3"/>
        <v>240</v>
      </c>
      <c r="G88" s="10">
        <v>86.75</v>
      </c>
      <c r="H88" s="10">
        <f t="shared" si="5"/>
        <v>1735</v>
      </c>
      <c r="I88" s="11">
        <f t="shared" si="4"/>
        <v>20820</v>
      </c>
    </row>
    <row r="89" spans="1:12">
      <c r="A89" s="8">
        <v>206020023</v>
      </c>
      <c r="B89" s="9" t="s">
        <v>86</v>
      </c>
      <c r="C89" s="18" t="s">
        <v>74</v>
      </c>
      <c r="D89" s="18" t="s">
        <v>13</v>
      </c>
      <c r="E89" s="9">
        <v>7</v>
      </c>
      <c r="F89" s="9">
        <f t="shared" si="3"/>
        <v>84</v>
      </c>
      <c r="G89" s="10">
        <v>86.75</v>
      </c>
      <c r="H89" s="10">
        <f t="shared" si="5"/>
        <v>607.25</v>
      </c>
      <c r="I89" s="11">
        <f t="shared" si="4"/>
        <v>7287</v>
      </c>
    </row>
    <row r="90" spans="1:12">
      <c r="A90" s="8">
        <v>206020031</v>
      </c>
      <c r="B90" s="9" t="s">
        <v>87</v>
      </c>
      <c r="C90" s="18" t="s">
        <v>74</v>
      </c>
      <c r="D90" s="18" t="s">
        <v>13</v>
      </c>
      <c r="E90" s="9">
        <v>30</v>
      </c>
      <c r="F90" s="9">
        <f t="shared" si="3"/>
        <v>360</v>
      </c>
      <c r="G90" s="10">
        <v>136.41</v>
      </c>
      <c r="H90" s="10">
        <f t="shared" si="5"/>
        <v>4092.2999999999997</v>
      </c>
      <c r="I90" s="11">
        <f t="shared" si="4"/>
        <v>49107.6</v>
      </c>
      <c r="L90" s="12"/>
    </row>
    <row r="91" spans="1:12">
      <c r="A91" s="8">
        <v>206030010</v>
      </c>
      <c r="B91" s="9" t="s">
        <v>88</v>
      </c>
      <c r="C91" s="18" t="s">
        <v>74</v>
      </c>
      <c r="D91" s="18" t="s">
        <v>13</v>
      </c>
      <c r="E91" s="9">
        <v>60</v>
      </c>
      <c r="F91" s="9">
        <f t="shared" si="3"/>
        <v>720</v>
      </c>
      <c r="G91" s="10">
        <v>138.63</v>
      </c>
      <c r="H91" s="10">
        <f t="shared" si="5"/>
        <v>8317.7999999999993</v>
      </c>
      <c r="I91" s="11">
        <f t="shared" si="4"/>
        <v>99813.599999999991</v>
      </c>
    </row>
    <row r="92" spans="1:12">
      <c r="A92" s="8">
        <v>206030029</v>
      </c>
      <c r="B92" s="9" t="s">
        <v>89</v>
      </c>
      <c r="C92" s="18" t="s">
        <v>74</v>
      </c>
      <c r="D92" s="18" t="s">
        <v>13</v>
      </c>
      <c r="E92" s="9">
        <v>20</v>
      </c>
      <c r="F92" s="9">
        <f t="shared" si="3"/>
        <v>240</v>
      </c>
      <c r="G92" s="10">
        <v>86.75</v>
      </c>
      <c r="H92" s="10">
        <f t="shared" si="5"/>
        <v>1735</v>
      </c>
      <c r="I92" s="11">
        <f t="shared" si="4"/>
        <v>20820</v>
      </c>
    </row>
    <row r="93" spans="1:12">
      <c r="A93" s="8">
        <v>206030037</v>
      </c>
      <c r="B93" s="9" t="s">
        <v>90</v>
      </c>
      <c r="C93" s="18" t="s">
        <v>74</v>
      </c>
      <c r="D93" s="18" t="s">
        <v>13</v>
      </c>
      <c r="E93" s="9">
        <v>60</v>
      </c>
      <c r="F93" s="9">
        <f t="shared" si="3"/>
        <v>720</v>
      </c>
      <c r="G93" s="10">
        <v>138.63</v>
      </c>
      <c r="H93" s="10">
        <f t="shared" si="5"/>
        <v>8317.7999999999993</v>
      </c>
      <c r="I93" s="11">
        <f t="shared" si="4"/>
        <v>99813.599999999991</v>
      </c>
    </row>
    <row r="94" spans="1:12">
      <c r="A94" s="178" t="s">
        <v>91</v>
      </c>
      <c r="B94" s="178"/>
      <c r="C94" s="178"/>
      <c r="D94" s="178"/>
      <c r="E94" s="2">
        <f>SUM(E81:E93)</f>
        <v>567</v>
      </c>
      <c r="F94" s="2">
        <f>SUM(F81:F93)</f>
        <v>6804</v>
      </c>
      <c r="G94" s="2"/>
      <c r="H94" s="3">
        <f>SUM(H81:H93)</f>
        <v>60137.12000000001</v>
      </c>
      <c r="I94" s="3">
        <f>SUM(I81:I93)</f>
        <v>721645.44</v>
      </c>
    </row>
    <row r="95" spans="1:12">
      <c r="A95" s="47"/>
      <c r="B95" s="48"/>
      <c r="C95" s="48"/>
      <c r="D95" s="48"/>
      <c r="E95" s="48"/>
      <c r="F95" s="48"/>
      <c r="G95" s="48"/>
      <c r="H95" s="49"/>
      <c r="I95" s="49"/>
    </row>
    <row r="96" spans="1:12" ht="15" customHeight="1">
      <c r="A96" s="180" t="s">
        <v>92</v>
      </c>
      <c r="B96" s="181"/>
      <c r="C96" s="1" t="s">
        <v>74</v>
      </c>
      <c r="D96" s="1" t="s">
        <v>93</v>
      </c>
      <c r="E96" s="1">
        <v>170</v>
      </c>
      <c r="F96" s="1">
        <f>E96*12</f>
        <v>2040</v>
      </c>
      <c r="G96" s="93">
        <v>70</v>
      </c>
      <c r="H96" s="4">
        <f>G96*E96</f>
        <v>11900</v>
      </c>
      <c r="I96" s="4">
        <f>H96*12</f>
        <v>142800</v>
      </c>
    </row>
    <row r="97" spans="1:9">
      <c r="A97" s="47"/>
      <c r="B97" s="48"/>
      <c r="C97" s="48"/>
      <c r="D97" s="48"/>
      <c r="E97" s="48"/>
      <c r="F97" s="48"/>
      <c r="G97" s="48"/>
      <c r="H97" s="49"/>
      <c r="I97" s="49"/>
    </row>
    <row r="98" spans="1:9">
      <c r="A98" s="47"/>
      <c r="B98" s="48"/>
      <c r="C98" s="48"/>
      <c r="D98" s="48"/>
      <c r="E98" s="48"/>
      <c r="F98" s="48"/>
      <c r="G98" s="48"/>
      <c r="H98" s="49"/>
      <c r="I98" s="49"/>
    </row>
    <row r="99" spans="1:9">
      <c r="A99" s="195" t="str">
        <f>UPPER("SUBGRUPO   07  Diagnóstico por ressonância magnética")</f>
        <v>SUBGRUPO   07  DIAGNÓSTICO POR RESSONÂNCIA MAGNÉTICA</v>
      </c>
      <c r="B99" s="196"/>
      <c r="C99" s="196"/>
      <c r="D99" s="196"/>
      <c r="E99" s="196"/>
      <c r="F99" s="196"/>
      <c r="G99" s="196"/>
      <c r="H99" s="196"/>
      <c r="I99" s="197"/>
    </row>
    <row r="100" spans="1:9">
      <c r="A100" s="8">
        <v>207010013</v>
      </c>
      <c r="B100" s="9" t="s">
        <v>94</v>
      </c>
      <c r="C100" s="18" t="s">
        <v>74</v>
      </c>
      <c r="D100" s="18" t="s">
        <v>13</v>
      </c>
      <c r="E100" s="9">
        <v>10</v>
      </c>
      <c r="F100" s="9">
        <f>E100*12</f>
        <v>120</v>
      </c>
      <c r="G100" s="10">
        <v>268.75</v>
      </c>
      <c r="H100" s="10">
        <f>G100*E100</f>
        <v>2687.5</v>
      </c>
      <c r="I100" s="11">
        <f>H100*12</f>
        <v>32250</v>
      </c>
    </row>
    <row r="101" spans="1:9">
      <c r="A101" s="8">
        <v>207010021</v>
      </c>
      <c r="B101" s="9" t="s">
        <v>95</v>
      </c>
      <c r="C101" s="18" t="s">
        <v>74</v>
      </c>
      <c r="D101" s="18" t="s">
        <v>13</v>
      </c>
      <c r="E101" s="9">
        <v>5</v>
      </c>
      <c r="F101" s="9">
        <f t="shared" si="3"/>
        <v>60</v>
      </c>
      <c r="G101" s="10">
        <v>268.75</v>
      </c>
      <c r="H101" s="10">
        <f t="shared" ref="H101:H111" si="6">G101*E101</f>
        <v>1343.75</v>
      </c>
      <c r="I101" s="11">
        <f t="shared" si="4"/>
        <v>16125</v>
      </c>
    </row>
    <row r="102" spans="1:9">
      <c r="A102" s="8">
        <v>207010030</v>
      </c>
      <c r="B102" s="9" t="s">
        <v>96</v>
      </c>
      <c r="C102" s="18" t="s">
        <v>74</v>
      </c>
      <c r="D102" s="18" t="s">
        <v>13</v>
      </c>
      <c r="E102" s="9">
        <v>61</v>
      </c>
      <c r="F102" s="9">
        <f t="shared" si="3"/>
        <v>732</v>
      </c>
      <c r="G102" s="10">
        <v>268.75</v>
      </c>
      <c r="H102" s="10">
        <f t="shared" si="6"/>
        <v>16393.75</v>
      </c>
      <c r="I102" s="11">
        <f t="shared" si="4"/>
        <v>196725</v>
      </c>
    </row>
    <row r="103" spans="1:9">
      <c r="A103" s="8">
        <v>207010048</v>
      </c>
      <c r="B103" s="9" t="s">
        <v>97</v>
      </c>
      <c r="C103" s="18" t="s">
        <v>74</v>
      </c>
      <c r="D103" s="18" t="s">
        <v>13</v>
      </c>
      <c r="E103" s="9">
        <v>200</v>
      </c>
      <c r="F103" s="9">
        <f t="shared" si="3"/>
        <v>2400</v>
      </c>
      <c r="G103" s="10">
        <v>268.75</v>
      </c>
      <c r="H103" s="10">
        <f t="shared" si="6"/>
        <v>53750</v>
      </c>
      <c r="I103" s="11">
        <f t="shared" si="4"/>
        <v>645000</v>
      </c>
    </row>
    <row r="104" spans="1:9">
      <c r="A104" s="8">
        <v>207010056</v>
      </c>
      <c r="B104" s="9" t="s">
        <v>98</v>
      </c>
      <c r="C104" s="18" t="s">
        <v>74</v>
      </c>
      <c r="D104" s="18" t="s">
        <v>13</v>
      </c>
      <c r="E104" s="9">
        <v>50</v>
      </c>
      <c r="F104" s="9">
        <f t="shared" si="3"/>
        <v>600</v>
      </c>
      <c r="G104" s="10">
        <v>268.75</v>
      </c>
      <c r="H104" s="10">
        <f t="shared" si="6"/>
        <v>13437.5</v>
      </c>
      <c r="I104" s="11">
        <f t="shared" si="4"/>
        <v>161250</v>
      </c>
    </row>
    <row r="105" spans="1:9">
      <c r="A105" s="8">
        <v>207010064</v>
      </c>
      <c r="B105" s="9" t="s">
        <v>99</v>
      </c>
      <c r="C105" s="18" t="s">
        <v>74</v>
      </c>
      <c r="D105" s="18" t="s">
        <v>13</v>
      </c>
      <c r="E105" s="9">
        <v>100</v>
      </c>
      <c r="F105" s="9">
        <f t="shared" si="3"/>
        <v>1200</v>
      </c>
      <c r="G105" s="10">
        <v>268.75</v>
      </c>
      <c r="H105" s="10">
        <f t="shared" si="6"/>
        <v>26875</v>
      </c>
      <c r="I105" s="11">
        <f t="shared" si="4"/>
        <v>322500</v>
      </c>
    </row>
    <row r="106" spans="1:9">
      <c r="A106" s="8">
        <v>207010072</v>
      </c>
      <c r="B106" s="9" t="s">
        <v>100</v>
      </c>
      <c r="C106" s="18" t="s">
        <v>74</v>
      </c>
      <c r="D106" s="18" t="s">
        <v>13</v>
      </c>
      <c r="E106" s="9">
        <v>5</v>
      </c>
      <c r="F106" s="9">
        <f t="shared" si="3"/>
        <v>60</v>
      </c>
      <c r="G106" s="10">
        <v>268.75</v>
      </c>
      <c r="H106" s="10">
        <f t="shared" si="6"/>
        <v>1343.75</v>
      </c>
      <c r="I106" s="11">
        <f t="shared" si="4"/>
        <v>16125</v>
      </c>
    </row>
    <row r="107" spans="1:9">
      <c r="A107" s="8">
        <v>207020027</v>
      </c>
      <c r="B107" s="9" t="s">
        <v>101</v>
      </c>
      <c r="C107" s="18" t="s">
        <v>74</v>
      </c>
      <c r="D107" s="18" t="s">
        <v>13</v>
      </c>
      <c r="E107" s="9">
        <v>25</v>
      </c>
      <c r="F107" s="9">
        <f t="shared" si="3"/>
        <v>300</v>
      </c>
      <c r="G107" s="10">
        <v>268.75</v>
      </c>
      <c r="H107" s="10">
        <f t="shared" si="6"/>
        <v>6718.75</v>
      </c>
      <c r="I107" s="11">
        <f t="shared" si="4"/>
        <v>80625</v>
      </c>
    </row>
    <row r="108" spans="1:9">
      <c r="A108" s="8">
        <v>207020035</v>
      </c>
      <c r="B108" s="9" t="s">
        <v>102</v>
      </c>
      <c r="C108" s="18" t="s">
        <v>74</v>
      </c>
      <c r="D108" s="18" t="s">
        <v>13</v>
      </c>
      <c r="E108" s="9">
        <v>8</v>
      </c>
      <c r="F108" s="9">
        <f t="shared" si="3"/>
        <v>96</v>
      </c>
      <c r="G108" s="10">
        <v>268.75</v>
      </c>
      <c r="H108" s="10">
        <f t="shared" si="6"/>
        <v>2150</v>
      </c>
      <c r="I108" s="11">
        <f t="shared" si="4"/>
        <v>25800</v>
      </c>
    </row>
    <row r="109" spans="1:9">
      <c r="A109" s="8">
        <v>207030014</v>
      </c>
      <c r="B109" s="9" t="s">
        <v>103</v>
      </c>
      <c r="C109" s="18" t="s">
        <v>74</v>
      </c>
      <c r="D109" s="18" t="s">
        <v>13</v>
      </c>
      <c r="E109" s="9">
        <v>31</v>
      </c>
      <c r="F109" s="9">
        <f t="shared" si="3"/>
        <v>372</v>
      </c>
      <c r="G109" s="10">
        <v>268.75</v>
      </c>
      <c r="H109" s="10">
        <f t="shared" si="6"/>
        <v>8331.25</v>
      </c>
      <c r="I109" s="11">
        <f t="shared" si="4"/>
        <v>99975</v>
      </c>
    </row>
    <row r="110" spans="1:9">
      <c r="A110" s="8">
        <v>207030030</v>
      </c>
      <c r="B110" s="9" t="s">
        <v>104</v>
      </c>
      <c r="C110" s="18" t="s">
        <v>74</v>
      </c>
      <c r="D110" s="18" t="s">
        <v>13</v>
      </c>
      <c r="E110" s="9">
        <v>29</v>
      </c>
      <c r="F110" s="9">
        <f>E110*12</f>
        <v>348</v>
      </c>
      <c r="G110" s="10">
        <v>268.75</v>
      </c>
      <c r="H110" s="10">
        <f>G110*E110</f>
        <v>7793.75</v>
      </c>
      <c r="I110" s="11">
        <f>H110*12</f>
        <v>93525</v>
      </c>
    </row>
    <row r="111" spans="1:9">
      <c r="A111" s="8">
        <v>207030022</v>
      </c>
      <c r="B111" s="9" t="s">
        <v>105</v>
      </c>
      <c r="C111" s="18" t="s">
        <v>74</v>
      </c>
      <c r="D111" s="18" t="s">
        <v>13</v>
      </c>
      <c r="E111" s="9">
        <v>76</v>
      </c>
      <c r="F111" s="9">
        <f t="shared" si="3"/>
        <v>912</v>
      </c>
      <c r="G111" s="10">
        <v>268.75</v>
      </c>
      <c r="H111" s="10">
        <f t="shared" si="6"/>
        <v>20425</v>
      </c>
      <c r="I111" s="11">
        <f t="shared" si="4"/>
        <v>245100</v>
      </c>
    </row>
    <row r="112" spans="1:9">
      <c r="A112" s="178" t="s">
        <v>106</v>
      </c>
      <c r="B112" s="178"/>
      <c r="C112" s="178"/>
      <c r="D112" s="178"/>
      <c r="E112" s="2">
        <f>SUM(E100:E111)</f>
        <v>600</v>
      </c>
      <c r="F112" s="2">
        <f>SUM(F100:F111)</f>
        <v>7200</v>
      </c>
      <c r="G112" s="2"/>
      <c r="H112" s="3">
        <f>SUM(H100:H111)</f>
        <v>161250</v>
      </c>
      <c r="I112" s="3">
        <f>SUM(I100:I111)</f>
        <v>1935000</v>
      </c>
    </row>
    <row r="113" spans="1:9">
      <c r="A113" s="47"/>
      <c r="B113" s="48"/>
      <c r="C113" s="48"/>
      <c r="D113" s="48"/>
      <c r="E113" s="48"/>
      <c r="F113" s="48"/>
      <c r="G113" s="48"/>
      <c r="H113" s="49"/>
      <c r="I113" s="49"/>
    </row>
    <row r="114" spans="1:9">
      <c r="A114" s="180" t="s">
        <v>92</v>
      </c>
      <c r="B114" s="181"/>
      <c r="C114" s="1" t="s">
        <v>74</v>
      </c>
      <c r="D114" s="1" t="s">
        <v>107</v>
      </c>
      <c r="E114" s="1">
        <v>180</v>
      </c>
      <c r="F114" s="1">
        <f>E114*12</f>
        <v>2160</v>
      </c>
      <c r="G114" s="93">
        <v>70</v>
      </c>
      <c r="H114" s="4">
        <f>G114*E114</f>
        <v>12600</v>
      </c>
      <c r="I114" s="4">
        <f>H114*12</f>
        <v>151200</v>
      </c>
    </row>
    <row r="115" spans="1:9">
      <c r="A115" s="47"/>
      <c r="B115" s="48"/>
      <c r="C115" s="48"/>
      <c r="D115" s="48"/>
      <c r="E115" s="48"/>
      <c r="F115" s="48"/>
      <c r="G115" s="48"/>
      <c r="H115" s="49"/>
      <c r="I115" s="49"/>
    </row>
    <row r="116" spans="1:9">
      <c r="A116" s="47"/>
      <c r="B116" s="48"/>
      <c r="C116" s="48"/>
      <c r="D116" s="48"/>
      <c r="E116" s="48"/>
      <c r="F116" s="48"/>
      <c r="G116" s="48"/>
      <c r="H116" s="49"/>
      <c r="I116" s="49"/>
    </row>
    <row r="117" spans="1:9">
      <c r="A117" s="47"/>
      <c r="B117" s="48"/>
      <c r="C117" s="48"/>
      <c r="D117" s="48"/>
      <c r="E117" s="48"/>
      <c r="F117" s="48"/>
      <c r="G117" s="48"/>
      <c r="H117" s="49"/>
      <c r="I117" s="49"/>
    </row>
    <row r="118" spans="1:9">
      <c r="A118" s="191" t="str">
        <f>UPPER("SUBGRUPO   10  Diagnóstico por radiologia intervencionista")</f>
        <v>SUBGRUPO   10  DIAGNÓSTICO POR RADIOLOGIA INTERVENCIONISTA</v>
      </c>
      <c r="B118" s="192"/>
      <c r="C118" s="192"/>
      <c r="D118" s="192"/>
      <c r="E118" s="192"/>
      <c r="F118" s="192"/>
      <c r="G118" s="192"/>
      <c r="H118" s="192"/>
      <c r="I118" s="193"/>
    </row>
    <row r="119" spans="1:9">
      <c r="A119" s="8">
        <v>210010070</v>
      </c>
      <c r="B119" s="9" t="s">
        <v>108</v>
      </c>
      <c r="C119" s="18" t="s">
        <v>74</v>
      </c>
      <c r="D119" s="18" t="s">
        <v>13</v>
      </c>
      <c r="E119" s="9">
        <v>29</v>
      </c>
      <c r="F119" s="9">
        <f>E119*12</f>
        <v>348</v>
      </c>
      <c r="G119" s="10">
        <v>179.46</v>
      </c>
      <c r="H119" s="10">
        <f>G119*E119</f>
        <v>5204.34</v>
      </c>
      <c r="I119" s="11">
        <f>H119*12</f>
        <v>62452.08</v>
      </c>
    </row>
    <row r="120" spans="1:9">
      <c r="A120" s="8">
        <v>210010142</v>
      </c>
      <c r="B120" s="9" t="s">
        <v>109</v>
      </c>
      <c r="C120" s="18" t="s">
        <v>74</v>
      </c>
      <c r="D120" s="18" t="s">
        <v>13</v>
      </c>
      <c r="E120" s="9">
        <v>16</v>
      </c>
      <c r="F120" s="9">
        <f>E120*12</f>
        <v>192</v>
      </c>
      <c r="G120" s="10">
        <v>201.51</v>
      </c>
      <c r="H120" s="10">
        <f>G120*E120</f>
        <v>3224.16</v>
      </c>
      <c r="I120" s="11">
        <f>H120*12</f>
        <v>38689.919999999998</v>
      </c>
    </row>
    <row r="121" spans="1:9">
      <c r="A121" s="178" t="s">
        <v>110</v>
      </c>
      <c r="B121" s="178"/>
      <c r="C121" s="178"/>
      <c r="D121" s="178"/>
      <c r="E121" s="2">
        <f>SUM(E119:E120)</f>
        <v>45</v>
      </c>
      <c r="F121" s="2">
        <f>SUM(F119:F120)</f>
        <v>540</v>
      </c>
      <c r="G121" s="2"/>
      <c r="H121" s="3">
        <f>SUM(H119:H120)</f>
        <v>8428.5</v>
      </c>
      <c r="I121" s="3">
        <f>SUM(I119:I120)</f>
        <v>101142</v>
      </c>
    </row>
    <row r="122" spans="1:9">
      <c r="A122" s="47"/>
      <c r="B122" s="48"/>
      <c r="C122" s="48"/>
      <c r="D122" s="48"/>
      <c r="E122" s="48"/>
      <c r="F122" s="48"/>
      <c r="G122" s="48"/>
      <c r="H122" s="49"/>
      <c r="I122" s="49"/>
    </row>
    <row r="123" spans="1:9">
      <c r="A123" s="47"/>
      <c r="B123" s="48"/>
      <c r="C123" s="48"/>
      <c r="D123" s="48"/>
      <c r="E123" s="48"/>
      <c r="F123" s="48"/>
      <c r="G123" s="48"/>
      <c r="H123" s="49"/>
      <c r="I123" s="49"/>
    </row>
    <row r="124" spans="1:9">
      <c r="A124" s="191" t="str">
        <f>UPPER("SUBGRUPO   11  Métodos diagnósticos em especialidades")</f>
        <v>SUBGRUPO   11  MÉTODOS DIAGNÓSTICOS EM ESPECIALIDADES</v>
      </c>
      <c r="B124" s="192"/>
      <c r="C124" s="192"/>
      <c r="D124" s="192"/>
      <c r="E124" s="192"/>
      <c r="F124" s="192"/>
      <c r="G124" s="192"/>
      <c r="H124" s="192"/>
      <c r="I124" s="193"/>
    </row>
    <row r="125" spans="1:9">
      <c r="A125" s="8">
        <v>211020036</v>
      </c>
      <c r="B125" s="9" t="s">
        <v>111</v>
      </c>
      <c r="C125" s="18" t="s">
        <v>12</v>
      </c>
      <c r="D125" s="18" t="s">
        <v>13</v>
      </c>
      <c r="E125" s="9">
        <v>200</v>
      </c>
      <c r="F125" s="9">
        <f t="shared" si="3"/>
        <v>2400</v>
      </c>
      <c r="G125" s="10">
        <v>5.15</v>
      </c>
      <c r="H125" s="10">
        <f>G125*E125</f>
        <v>1030</v>
      </c>
      <c r="I125" s="11">
        <f t="shared" si="4"/>
        <v>12360</v>
      </c>
    </row>
    <row r="126" spans="1:9">
      <c r="A126" s="8">
        <v>211020010</v>
      </c>
      <c r="B126" s="9" t="s">
        <v>112</v>
      </c>
      <c r="C126" s="18" t="s">
        <v>74</v>
      </c>
      <c r="D126" s="18" t="s">
        <v>13</v>
      </c>
      <c r="E126" s="9">
        <v>100</v>
      </c>
      <c r="F126" s="9">
        <f t="shared" si="3"/>
        <v>1200</v>
      </c>
      <c r="G126" s="10">
        <v>730.04</v>
      </c>
      <c r="H126" s="10">
        <f>G126*E126</f>
        <v>73004</v>
      </c>
      <c r="I126" s="11">
        <f t="shared" si="4"/>
        <v>876048</v>
      </c>
    </row>
    <row r="127" spans="1:9">
      <c r="A127" s="8">
        <v>211020044</v>
      </c>
      <c r="B127" s="9" t="s">
        <v>113</v>
      </c>
      <c r="C127" s="18" t="s">
        <v>12</v>
      </c>
      <c r="D127" s="18" t="s">
        <v>13</v>
      </c>
      <c r="E127" s="9">
        <v>20</v>
      </c>
      <c r="F127" s="9">
        <f t="shared" si="3"/>
        <v>240</v>
      </c>
      <c r="G127" s="10">
        <v>30</v>
      </c>
      <c r="H127" s="10">
        <f>G127*E127</f>
        <v>600</v>
      </c>
      <c r="I127" s="11">
        <f t="shared" si="4"/>
        <v>7200</v>
      </c>
    </row>
    <row r="128" spans="1:9">
      <c r="A128" s="8">
        <v>211020060</v>
      </c>
      <c r="B128" s="9" t="s">
        <v>114</v>
      </c>
      <c r="C128" s="18" t="s">
        <v>12</v>
      </c>
      <c r="D128" s="18" t="s">
        <v>13</v>
      </c>
      <c r="E128" s="9">
        <v>20</v>
      </c>
      <c r="F128" s="9">
        <f t="shared" si="3"/>
        <v>240</v>
      </c>
      <c r="G128" s="10">
        <v>30</v>
      </c>
      <c r="H128" s="10">
        <f>G128*E128</f>
        <v>600</v>
      </c>
      <c r="I128" s="11">
        <f t="shared" si="4"/>
        <v>7200</v>
      </c>
    </row>
    <row r="129" spans="1:9">
      <c r="A129" s="198" t="s">
        <v>115</v>
      </c>
      <c r="B129" s="199"/>
      <c r="C129" s="199"/>
      <c r="D129" s="200"/>
      <c r="E129" s="2">
        <f>SUM(E125:E128)</f>
        <v>340</v>
      </c>
      <c r="F129" s="2">
        <f>SUM(F125:F128)</f>
        <v>4080</v>
      </c>
      <c r="G129" s="2"/>
      <c r="H129" s="3">
        <f>SUM(H125:H128)</f>
        <v>75234</v>
      </c>
      <c r="I129" s="3">
        <f>SUM(I125:I128)</f>
        <v>902808</v>
      </c>
    </row>
    <row r="130" spans="1:9">
      <c r="A130" s="182" t="s">
        <v>116</v>
      </c>
      <c r="B130" s="183"/>
      <c r="C130" s="183"/>
      <c r="D130" s="184"/>
      <c r="E130" s="50">
        <f>E64+E70+E77+E94+E112+E121</f>
        <v>19334</v>
      </c>
      <c r="F130" s="50">
        <f>E130*12</f>
        <v>232008</v>
      </c>
      <c r="G130" s="50"/>
      <c r="H130" s="51">
        <f>H129+H121+H112+H94+H77+H70+H64</f>
        <v>428469.94000000006</v>
      </c>
      <c r="I130" s="51">
        <f>H130*12</f>
        <v>5141639.2800000012</v>
      </c>
    </row>
    <row r="131" spans="1:9">
      <c r="A131" s="47"/>
      <c r="B131" s="47"/>
      <c r="C131" s="47"/>
      <c r="D131" s="47"/>
      <c r="E131" s="48"/>
      <c r="F131" s="48"/>
      <c r="G131" s="48"/>
      <c r="H131" s="49"/>
      <c r="I131" s="49"/>
    </row>
    <row r="132" spans="1:9">
      <c r="A132" s="180" t="s">
        <v>117</v>
      </c>
      <c r="B132" s="181"/>
      <c r="C132" s="1" t="s">
        <v>74</v>
      </c>
      <c r="D132" s="1" t="s">
        <v>93</v>
      </c>
      <c r="E132" s="1">
        <v>100</v>
      </c>
      <c r="F132" s="1">
        <f>E132*12</f>
        <v>1200</v>
      </c>
      <c r="G132" s="93">
        <v>1269.96</v>
      </c>
      <c r="H132" s="4">
        <f>G132*E132</f>
        <v>126996</v>
      </c>
      <c r="I132" s="4">
        <f>H132*12</f>
        <v>1523952</v>
      </c>
    </row>
    <row r="133" spans="1:9">
      <c r="A133" s="47"/>
      <c r="B133" s="47"/>
      <c r="C133" s="47"/>
      <c r="D133" s="47"/>
      <c r="E133" s="48"/>
      <c r="F133" s="48"/>
      <c r="G133" s="48"/>
      <c r="H133" s="49"/>
      <c r="I133" s="49"/>
    </row>
    <row r="134" spans="1:9">
      <c r="A134" s="47"/>
      <c r="B134" s="47"/>
      <c r="C134" s="47"/>
      <c r="D134" s="47"/>
      <c r="E134" s="48"/>
      <c r="F134" s="48"/>
      <c r="G134" s="48"/>
      <c r="H134" s="49"/>
      <c r="I134" s="49"/>
    </row>
    <row r="135" spans="1:9">
      <c r="A135" s="201" t="s">
        <v>118</v>
      </c>
      <c r="B135" s="202"/>
      <c r="C135" s="202"/>
      <c r="D135" s="202"/>
      <c r="E135" s="202"/>
      <c r="F135" s="202"/>
      <c r="G135" s="202"/>
      <c r="H135" s="202"/>
      <c r="I135" s="203"/>
    </row>
    <row r="136" spans="1:9">
      <c r="A136" s="204" t="str">
        <f>UPPER("SUBGRUPO   01  Consultas / Atendimentos / Acompanhamentos")</f>
        <v>SUBGRUPO   01  CONSULTAS / ATENDIMENTOS / ACOMPANHAMENTOS</v>
      </c>
      <c r="B136" s="205"/>
      <c r="C136" s="205"/>
      <c r="D136" s="205"/>
      <c r="E136" s="205"/>
      <c r="F136" s="205"/>
      <c r="G136" s="205"/>
      <c r="H136" s="205"/>
      <c r="I136" s="206"/>
    </row>
    <row r="137" spans="1:9">
      <c r="A137" s="80">
        <v>301010072</v>
      </c>
      <c r="B137" s="81" t="s">
        <v>119</v>
      </c>
      <c r="C137" s="82" t="s">
        <v>12</v>
      </c>
      <c r="D137" s="82" t="s">
        <v>13</v>
      </c>
      <c r="E137" s="83">
        <f>E138+E139+E140+E141+E142+E143+E144</f>
        <v>1747</v>
      </c>
      <c r="F137" s="83">
        <f>E137*12</f>
        <v>20964</v>
      </c>
      <c r="G137" s="84">
        <v>10</v>
      </c>
      <c r="H137" s="84">
        <f>G137*E137</f>
        <v>17470</v>
      </c>
      <c r="I137" s="85">
        <f t="shared" si="4"/>
        <v>209640</v>
      </c>
    </row>
    <row r="138" spans="1:9">
      <c r="A138" s="8"/>
      <c r="B138" s="9" t="s">
        <v>120</v>
      </c>
      <c r="C138" s="18" t="s">
        <v>12</v>
      </c>
      <c r="D138" s="18" t="s">
        <v>13</v>
      </c>
      <c r="E138" s="9">
        <v>200</v>
      </c>
      <c r="F138" s="9">
        <f>E138*12</f>
        <v>2400</v>
      </c>
      <c r="G138" s="10"/>
      <c r="H138" s="10">
        <f t="shared" ref="H138:H144" si="7">G138*E138</f>
        <v>0</v>
      </c>
      <c r="I138" s="11">
        <f t="shared" si="4"/>
        <v>0</v>
      </c>
    </row>
    <row r="139" spans="1:9">
      <c r="A139" s="8"/>
      <c r="B139" s="9" t="s">
        <v>121</v>
      </c>
      <c r="C139" s="18" t="s">
        <v>12</v>
      </c>
      <c r="D139" s="18" t="s">
        <v>13</v>
      </c>
      <c r="E139" s="9">
        <v>267</v>
      </c>
      <c r="F139" s="9">
        <f t="shared" ref="F139:F144" si="8">E139*12</f>
        <v>3204</v>
      </c>
      <c r="G139" s="10"/>
      <c r="H139" s="10">
        <f t="shared" si="7"/>
        <v>0</v>
      </c>
      <c r="I139" s="11">
        <f t="shared" si="4"/>
        <v>0</v>
      </c>
    </row>
    <row r="140" spans="1:9">
      <c r="A140" s="8"/>
      <c r="B140" s="9" t="s">
        <v>122</v>
      </c>
      <c r="C140" s="18" t="s">
        <v>12</v>
      </c>
      <c r="D140" s="18" t="s">
        <v>13</v>
      </c>
      <c r="E140" s="9">
        <v>400</v>
      </c>
      <c r="F140" s="9">
        <f t="shared" si="8"/>
        <v>4800</v>
      </c>
      <c r="G140" s="10"/>
      <c r="H140" s="10">
        <f t="shared" si="7"/>
        <v>0</v>
      </c>
      <c r="I140" s="11">
        <f t="shared" si="4"/>
        <v>0</v>
      </c>
    </row>
    <row r="141" spans="1:9">
      <c r="A141" s="8"/>
      <c r="B141" s="9" t="s">
        <v>123</v>
      </c>
      <c r="C141" s="18" t="s">
        <v>12</v>
      </c>
      <c r="D141" s="18" t="s">
        <v>13</v>
      </c>
      <c r="E141" s="9">
        <v>100</v>
      </c>
      <c r="F141" s="9">
        <f t="shared" si="8"/>
        <v>1200</v>
      </c>
      <c r="G141" s="10"/>
      <c r="H141" s="10">
        <f t="shared" si="7"/>
        <v>0</v>
      </c>
      <c r="I141" s="11">
        <f t="shared" si="4"/>
        <v>0</v>
      </c>
    </row>
    <row r="142" spans="1:9">
      <c r="A142" s="8"/>
      <c r="B142" s="9" t="s">
        <v>124</v>
      </c>
      <c r="C142" s="18" t="s">
        <v>12</v>
      </c>
      <c r="D142" s="18" t="s">
        <v>13</v>
      </c>
      <c r="E142" s="9">
        <v>500</v>
      </c>
      <c r="F142" s="9">
        <f t="shared" si="8"/>
        <v>6000</v>
      </c>
      <c r="G142" s="10"/>
      <c r="H142" s="10">
        <f t="shared" si="7"/>
        <v>0</v>
      </c>
      <c r="I142" s="11">
        <f t="shared" si="4"/>
        <v>0</v>
      </c>
    </row>
    <row r="143" spans="1:9">
      <c r="A143" s="8"/>
      <c r="B143" s="9" t="s">
        <v>125</v>
      </c>
      <c r="C143" s="18" t="s">
        <v>12</v>
      </c>
      <c r="D143" s="18" t="s">
        <v>13</v>
      </c>
      <c r="E143" s="9">
        <v>80</v>
      </c>
      <c r="F143" s="9">
        <f t="shared" si="8"/>
        <v>960</v>
      </c>
      <c r="G143" s="10"/>
      <c r="H143" s="10">
        <f t="shared" si="7"/>
        <v>0</v>
      </c>
      <c r="I143" s="11">
        <f t="shared" si="4"/>
        <v>0</v>
      </c>
    </row>
    <row r="144" spans="1:9">
      <c r="A144" s="8"/>
      <c r="B144" s="9" t="s">
        <v>126</v>
      </c>
      <c r="C144" s="18" t="s">
        <v>12</v>
      </c>
      <c r="D144" s="18" t="s">
        <v>13</v>
      </c>
      <c r="E144" s="9">
        <v>200</v>
      </c>
      <c r="F144" s="9">
        <f t="shared" si="8"/>
        <v>2400</v>
      </c>
      <c r="G144" s="10"/>
      <c r="H144" s="10">
        <f t="shared" si="7"/>
        <v>0</v>
      </c>
      <c r="I144" s="11">
        <f t="shared" si="4"/>
        <v>0</v>
      </c>
    </row>
    <row r="145" spans="1:9">
      <c r="A145" s="80">
        <v>301060061</v>
      </c>
      <c r="B145" s="81" t="s">
        <v>127</v>
      </c>
      <c r="C145" s="82" t="s">
        <v>12</v>
      </c>
      <c r="D145" s="82" t="s">
        <v>13</v>
      </c>
      <c r="E145" s="83">
        <v>400</v>
      </c>
      <c r="F145" s="83">
        <f t="shared" si="3"/>
        <v>4800</v>
      </c>
      <c r="G145" s="84"/>
      <c r="H145" s="84">
        <f>G145*E145</f>
        <v>0</v>
      </c>
      <c r="I145" s="85">
        <f t="shared" si="4"/>
        <v>0</v>
      </c>
    </row>
    <row r="146" spans="1:9">
      <c r="A146" s="8"/>
      <c r="B146" s="9" t="s">
        <v>128</v>
      </c>
      <c r="C146" s="18" t="s">
        <v>12</v>
      </c>
      <c r="D146" s="18" t="s">
        <v>13</v>
      </c>
      <c r="E146" s="9">
        <f>E145</f>
        <v>400</v>
      </c>
      <c r="F146" s="9">
        <f t="shared" si="3"/>
        <v>4800</v>
      </c>
      <c r="G146" s="10">
        <v>11</v>
      </c>
      <c r="H146" s="10">
        <f>G146*E146</f>
        <v>4400</v>
      </c>
      <c r="I146" s="11">
        <f t="shared" si="4"/>
        <v>52800</v>
      </c>
    </row>
    <row r="147" spans="1:9">
      <c r="A147" s="80">
        <v>301010048</v>
      </c>
      <c r="B147" s="81" t="s">
        <v>129</v>
      </c>
      <c r="C147" s="82" t="s">
        <v>12</v>
      </c>
      <c r="D147" s="82" t="s">
        <v>13</v>
      </c>
      <c r="E147" s="83">
        <v>1620</v>
      </c>
      <c r="F147" s="83">
        <f t="shared" si="3"/>
        <v>19440</v>
      </c>
      <c r="G147" s="84">
        <v>6.3</v>
      </c>
      <c r="H147" s="84">
        <f>G147*E147</f>
        <v>10206</v>
      </c>
      <c r="I147" s="85">
        <f t="shared" si="4"/>
        <v>122472</v>
      </c>
    </row>
    <row r="148" spans="1:9">
      <c r="A148" s="178" t="s">
        <v>115</v>
      </c>
      <c r="B148" s="179"/>
      <c r="C148" s="179"/>
      <c r="D148" s="179"/>
      <c r="E148" s="2">
        <f>E137+E145+E147</f>
        <v>3767</v>
      </c>
      <c r="F148" s="2">
        <f>E148*12</f>
        <v>45204</v>
      </c>
      <c r="G148" s="2"/>
      <c r="H148" s="3">
        <f>H137+H147</f>
        <v>27676</v>
      </c>
      <c r="I148" s="3">
        <f>SUM(I137:I147)</f>
        <v>384912</v>
      </c>
    </row>
    <row r="149" spans="1:9">
      <c r="A149" s="194" t="s">
        <v>116</v>
      </c>
      <c r="B149" s="194"/>
      <c r="C149" s="194"/>
      <c r="D149" s="194"/>
      <c r="E149" s="1">
        <f>SUM(E130,E148)</f>
        <v>23101</v>
      </c>
      <c r="F149" s="1">
        <f>SUM(F130,F148)</f>
        <v>277212</v>
      </c>
      <c r="G149" s="1"/>
      <c r="H149" s="4">
        <f>SUM(H130,H148)</f>
        <v>456145.94000000006</v>
      </c>
      <c r="I149" s="15">
        <f>SUM(I130,I148)</f>
        <v>5526551.2800000012</v>
      </c>
    </row>
    <row r="150" spans="1:9">
      <c r="I150" s="12"/>
    </row>
    <row r="151" spans="1:9">
      <c r="B151" s="16"/>
      <c r="C151" s="40"/>
      <c r="G151" s="12"/>
      <c r="I151" s="12"/>
    </row>
    <row r="152" spans="1:9">
      <c r="I152" s="12"/>
    </row>
    <row r="153" spans="1:9">
      <c r="C153" s="40"/>
      <c r="D153" s="20"/>
    </row>
    <row r="156" spans="1:9">
      <c r="C156" s="41"/>
      <c r="D156" s="21"/>
      <c r="E156" s="17"/>
    </row>
    <row r="157" spans="1:9">
      <c r="C157" s="41"/>
      <c r="D157" s="21"/>
      <c r="E157" s="17"/>
      <c r="G157" s="12"/>
      <c r="H157" s="12"/>
    </row>
  </sheetData>
  <autoFilter ref="A4:I64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31">
    <mergeCell ref="A1:I1"/>
    <mergeCell ref="A4:I4"/>
    <mergeCell ref="A5:I5"/>
    <mergeCell ref="D2:D3"/>
    <mergeCell ref="G2:G3"/>
    <mergeCell ref="E2:F2"/>
    <mergeCell ref="H2:I2"/>
    <mergeCell ref="A2:A3"/>
    <mergeCell ref="B2:B3"/>
    <mergeCell ref="C2:C3"/>
    <mergeCell ref="A149:D149"/>
    <mergeCell ref="A94:D94"/>
    <mergeCell ref="A99:I99"/>
    <mergeCell ref="A112:D112"/>
    <mergeCell ref="A124:I124"/>
    <mergeCell ref="A129:D129"/>
    <mergeCell ref="A118:I118"/>
    <mergeCell ref="A121:D121"/>
    <mergeCell ref="A135:I135"/>
    <mergeCell ref="A136:I136"/>
    <mergeCell ref="A148:D148"/>
    <mergeCell ref="A64:D64"/>
    <mergeCell ref="A96:B96"/>
    <mergeCell ref="A114:B114"/>
    <mergeCell ref="A132:B132"/>
    <mergeCell ref="A130:D130"/>
    <mergeCell ref="A67:I67"/>
    <mergeCell ref="A70:D70"/>
    <mergeCell ref="A75:I75"/>
    <mergeCell ref="A77:D77"/>
    <mergeCell ref="A80:I80"/>
  </mergeCells>
  <pageMargins left="0.19" right="0.17" top="0.28000000000000003" bottom="0.33" header="0.31496062000000002" footer="0.31496062000000002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5D47-B2A0-46EC-8FA7-AE0DEF24DF8B}">
  <dimension ref="C3:C18"/>
  <sheetViews>
    <sheetView workbookViewId="0">
      <selection activeCell="C3" sqref="C3:C18"/>
    </sheetView>
  </sheetViews>
  <sheetFormatPr defaultRowHeight="15"/>
  <cols>
    <col min="3" max="3" width="22.42578125" bestFit="1" customWidth="1"/>
    <col min="4" max="4" width="17.7109375" bestFit="1" customWidth="1"/>
  </cols>
  <sheetData>
    <row r="3" spans="3:3">
      <c r="C3" t="s">
        <v>130</v>
      </c>
    </row>
    <row r="4" spans="3:3">
      <c r="C4" t="s">
        <v>131</v>
      </c>
    </row>
    <row r="5" spans="3:3">
      <c r="C5" t="s">
        <v>132</v>
      </c>
    </row>
    <row r="6" spans="3:3">
      <c r="C6" t="s">
        <v>133</v>
      </c>
    </row>
    <row r="7" spans="3:3">
      <c r="C7" t="s">
        <v>134</v>
      </c>
    </row>
    <row r="8" spans="3:3">
      <c r="C8" t="s">
        <v>135</v>
      </c>
    </row>
    <row r="9" spans="3:3">
      <c r="C9" t="s">
        <v>136</v>
      </c>
    </row>
    <row r="10" spans="3:3">
      <c r="C10" t="s">
        <v>137</v>
      </c>
    </row>
    <row r="11" spans="3:3">
      <c r="C11" t="s">
        <v>138</v>
      </c>
    </row>
    <row r="12" spans="3:3">
      <c r="C12" t="s">
        <v>139</v>
      </c>
    </row>
    <row r="13" spans="3:3">
      <c r="C13" t="s">
        <v>140</v>
      </c>
    </row>
    <row r="14" spans="3:3">
      <c r="C14" t="s">
        <v>141</v>
      </c>
    </row>
    <row r="15" spans="3:3">
      <c r="C15" t="s">
        <v>142</v>
      </c>
    </row>
    <row r="16" spans="3:3">
      <c r="C16" t="s">
        <v>143</v>
      </c>
    </row>
    <row r="17" spans="3:3">
      <c r="C17" t="s">
        <v>144</v>
      </c>
    </row>
    <row r="18" spans="3:3">
      <c r="C18" t="s">
        <v>145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H29"/>
  <sheetViews>
    <sheetView tabSelected="1" workbookViewId="0">
      <selection activeCell="D5" sqref="D5"/>
    </sheetView>
  </sheetViews>
  <sheetFormatPr defaultRowHeight="15"/>
  <cols>
    <col min="1" max="1" width="33.28515625" customWidth="1"/>
    <col min="2" max="2" width="23.42578125" customWidth="1"/>
    <col min="3" max="3" width="21.28515625" customWidth="1"/>
    <col min="4" max="4" width="10.85546875" customWidth="1"/>
    <col min="5" max="5" width="12.140625" customWidth="1"/>
    <col min="6" max="6" width="10.5703125" customWidth="1"/>
    <col min="7" max="7" width="19.140625" customWidth="1"/>
    <col min="8" max="8" width="18.42578125" customWidth="1"/>
  </cols>
  <sheetData>
    <row r="1" spans="1:8" ht="43.5" customHeight="1">
      <c r="A1" s="163" t="s">
        <v>146</v>
      </c>
      <c r="B1" s="164"/>
      <c r="C1" s="164"/>
      <c r="D1" s="164"/>
      <c r="E1" s="164"/>
      <c r="F1" s="164"/>
      <c r="G1" s="164"/>
      <c r="H1" s="164"/>
    </row>
    <row r="2" spans="1:8">
      <c r="A2" s="151" t="s">
        <v>2</v>
      </c>
      <c r="B2" s="152" t="s">
        <v>3</v>
      </c>
      <c r="C2" s="152" t="s">
        <v>4</v>
      </c>
      <c r="D2" s="151" t="s">
        <v>5</v>
      </c>
      <c r="E2" s="151"/>
      <c r="F2" s="153" t="s">
        <v>147</v>
      </c>
      <c r="G2" s="151" t="s">
        <v>7</v>
      </c>
      <c r="H2" s="151"/>
    </row>
    <row r="3" spans="1:8">
      <c r="A3" s="151"/>
      <c r="B3" s="152"/>
      <c r="C3" s="152"/>
      <c r="D3" s="6" t="s">
        <v>8</v>
      </c>
      <c r="E3" s="6" t="s">
        <v>9</v>
      </c>
      <c r="F3" s="154"/>
      <c r="G3" s="7" t="s">
        <v>8</v>
      </c>
      <c r="H3" s="7" t="s">
        <v>9</v>
      </c>
    </row>
    <row r="4" spans="1:8">
      <c r="A4" s="95" t="s">
        <v>148</v>
      </c>
      <c r="B4" s="158"/>
      <c r="C4" s="159"/>
      <c r="D4" s="159"/>
      <c r="E4" s="159"/>
      <c r="F4" s="159"/>
      <c r="G4" s="159"/>
      <c r="H4" s="160"/>
    </row>
    <row r="5" spans="1:8">
      <c r="A5" s="96" t="s">
        <v>149</v>
      </c>
      <c r="B5" s="98" t="s">
        <v>74</v>
      </c>
      <c r="C5" s="98" t="s">
        <v>13</v>
      </c>
      <c r="D5" s="145">
        <v>15</v>
      </c>
      <c r="E5" s="97">
        <f>D5*12</f>
        <v>180</v>
      </c>
      <c r="F5" s="141">
        <v>6397.31</v>
      </c>
      <c r="G5" s="144">
        <f>F5*D5</f>
        <v>95959.650000000009</v>
      </c>
      <c r="H5" s="142">
        <f>G5*12</f>
        <v>1151515.8</v>
      </c>
    </row>
    <row r="6" spans="1:8">
      <c r="A6" s="96" t="s">
        <v>150</v>
      </c>
      <c r="B6" s="98" t="s">
        <v>74</v>
      </c>
      <c r="C6" s="98" t="s">
        <v>13</v>
      </c>
      <c r="D6" s="97">
        <v>15</v>
      </c>
      <c r="E6" s="97">
        <f t="shared" ref="E6:E8" si="0">D6*12</f>
        <v>180</v>
      </c>
      <c r="F6" s="141">
        <v>9365.86</v>
      </c>
      <c r="G6" s="141">
        <f t="shared" ref="G6:G8" si="1">F6*D6</f>
        <v>140487.90000000002</v>
      </c>
      <c r="H6" s="142">
        <f t="shared" ref="H6:H9" si="2">G6*12</f>
        <v>1685854.8000000003</v>
      </c>
    </row>
    <row r="7" spans="1:8">
      <c r="A7" s="96" t="s">
        <v>151</v>
      </c>
      <c r="B7" s="98" t="s">
        <v>152</v>
      </c>
      <c r="C7" s="98" t="s">
        <v>13</v>
      </c>
      <c r="D7" s="97">
        <v>15</v>
      </c>
      <c r="E7" s="97">
        <f t="shared" si="0"/>
        <v>180</v>
      </c>
      <c r="F7" s="141">
        <v>5986.83</v>
      </c>
      <c r="G7" s="141">
        <f t="shared" si="1"/>
        <v>89802.45</v>
      </c>
      <c r="H7" s="142">
        <f t="shared" si="2"/>
        <v>1077629.3999999999</v>
      </c>
    </row>
    <row r="8" spans="1:8">
      <c r="A8" s="96" t="s">
        <v>153</v>
      </c>
      <c r="B8" s="98" t="s">
        <v>74</v>
      </c>
      <c r="C8" s="98" t="s">
        <v>13</v>
      </c>
      <c r="D8" s="97">
        <v>3</v>
      </c>
      <c r="E8" s="97">
        <f t="shared" si="0"/>
        <v>36</v>
      </c>
      <c r="F8" s="141">
        <v>2258.09</v>
      </c>
      <c r="G8" s="141">
        <f t="shared" si="1"/>
        <v>6774.27</v>
      </c>
      <c r="H8" s="142">
        <f t="shared" si="2"/>
        <v>81291.240000000005</v>
      </c>
    </row>
    <row r="9" spans="1:8">
      <c r="A9" s="165" t="s">
        <v>154</v>
      </c>
      <c r="B9" s="165"/>
      <c r="C9" s="165"/>
      <c r="D9" s="101">
        <f>SUM(D5:D8)</f>
        <v>48</v>
      </c>
      <c r="E9" s="101">
        <f>SUM(E5:E8)</f>
        <v>576</v>
      </c>
      <c r="F9" s="102"/>
      <c r="G9" s="103">
        <f>SUM(G5:G8)</f>
        <v>333024.27000000008</v>
      </c>
      <c r="H9" s="103">
        <f t="shared" si="2"/>
        <v>3996291.2400000012</v>
      </c>
    </row>
    <row r="10" spans="1:8">
      <c r="A10" s="161"/>
      <c r="B10" s="161"/>
      <c r="C10" s="161"/>
      <c r="D10" s="161"/>
      <c r="E10" s="161"/>
      <c r="F10" s="161"/>
      <c r="G10" s="161"/>
      <c r="H10" s="161"/>
    </row>
    <row r="11" spans="1:8">
      <c r="A11" s="162"/>
      <c r="B11" s="162"/>
      <c r="C11" s="162"/>
      <c r="D11" s="162"/>
      <c r="E11" s="162"/>
      <c r="F11" s="162"/>
      <c r="G11" s="162"/>
      <c r="H11" s="162"/>
    </row>
    <row r="12" spans="1:8" ht="15" customHeight="1">
      <c r="A12" s="174" t="s">
        <v>2</v>
      </c>
      <c r="B12" s="175" t="str">
        <f>'METAS HOSPITALARES+INTERNAÇÕES'!A29</f>
        <v>* Diarias inclusas nos procedimentos</v>
      </c>
      <c r="C12" s="175" t="s">
        <v>4</v>
      </c>
      <c r="D12" s="174" t="s">
        <v>5</v>
      </c>
      <c r="E12" s="174"/>
      <c r="F12" s="176" t="s">
        <v>147</v>
      </c>
      <c r="G12" s="174" t="s">
        <v>7</v>
      </c>
      <c r="H12" s="174"/>
    </row>
    <row r="13" spans="1:8">
      <c r="A13" s="174"/>
      <c r="B13" s="175"/>
      <c r="C13" s="175"/>
      <c r="D13" s="104" t="s">
        <v>8</v>
      </c>
      <c r="E13" s="104" t="s">
        <v>9</v>
      </c>
      <c r="F13" s="177"/>
      <c r="G13" s="105" t="s">
        <v>8</v>
      </c>
      <c r="H13" s="105" t="s">
        <v>9</v>
      </c>
    </row>
    <row r="14" spans="1:8">
      <c r="A14" s="95" t="s">
        <v>155</v>
      </c>
      <c r="B14" s="155"/>
      <c r="C14" s="156"/>
      <c r="D14" s="156"/>
      <c r="E14" s="156"/>
      <c r="F14" s="156"/>
      <c r="G14" s="156"/>
      <c r="H14" s="157"/>
    </row>
    <row r="15" spans="1:8">
      <c r="A15" s="96" t="s">
        <v>156</v>
      </c>
      <c r="B15" s="97" t="s">
        <v>74</v>
      </c>
      <c r="C15" s="98" t="s">
        <v>13</v>
      </c>
      <c r="D15" s="98">
        <v>273</v>
      </c>
      <c r="E15" s="98">
        <f>D15*12</f>
        <v>3276</v>
      </c>
      <c r="F15" s="99">
        <v>598.65</v>
      </c>
      <c r="G15" s="99">
        <f>F15*D15</f>
        <v>163431.44999999998</v>
      </c>
      <c r="H15" s="100">
        <f>G15*12</f>
        <v>1961177.4</v>
      </c>
    </row>
    <row r="16" spans="1:8">
      <c r="A16" s="96" t="s">
        <v>157</v>
      </c>
      <c r="B16" s="97" t="s">
        <v>74</v>
      </c>
      <c r="C16" s="98" t="s">
        <v>13</v>
      </c>
      <c r="D16" s="98">
        <v>123</v>
      </c>
      <c r="E16" s="98">
        <f t="shared" ref="E16:E17" si="3">D16*12</f>
        <v>1476</v>
      </c>
      <c r="F16" s="99">
        <v>422.82</v>
      </c>
      <c r="G16" s="99">
        <f t="shared" ref="G16:G17" si="4">F16*D16</f>
        <v>52006.86</v>
      </c>
      <c r="H16" s="100">
        <f t="shared" ref="H16:H18" si="5">G16*12</f>
        <v>624082.32000000007</v>
      </c>
    </row>
    <row r="17" spans="1:8">
      <c r="A17" s="96" t="s">
        <v>158</v>
      </c>
      <c r="B17" s="97" t="s">
        <v>152</v>
      </c>
      <c r="C17" s="98" t="s">
        <v>13</v>
      </c>
      <c r="D17" s="98">
        <v>211</v>
      </c>
      <c r="E17" s="98">
        <f t="shared" si="3"/>
        <v>2532</v>
      </c>
      <c r="F17" s="99">
        <v>1283.53</v>
      </c>
      <c r="G17" s="99">
        <f t="shared" si="4"/>
        <v>270824.83</v>
      </c>
      <c r="H17" s="100">
        <f t="shared" si="5"/>
        <v>3249897.96</v>
      </c>
    </row>
    <row r="18" spans="1:8">
      <c r="A18" s="148" t="s">
        <v>154</v>
      </c>
      <c r="B18" s="149"/>
      <c r="C18" s="150"/>
      <c r="D18" s="143">
        <f>SUM(D15:D17)</f>
        <v>607</v>
      </c>
      <c r="E18" s="143">
        <f>SUM(E15:E17)</f>
        <v>7284</v>
      </c>
      <c r="F18" s="103">
        <f>SUM(F15:F17)</f>
        <v>2305</v>
      </c>
      <c r="G18" s="103">
        <f>SUM(G15:G17)</f>
        <v>486263.14</v>
      </c>
      <c r="H18" s="103">
        <f t="shared" si="5"/>
        <v>5835157.6799999997</v>
      </c>
    </row>
    <row r="19" spans="1:8">
      <c r="A19" s="161"/>
      <c r="B19" s="161"/>
      <c r="C19" s="161"/>
      <c r="D19" s="161"/>
      <c r="E19" s="161"/>
      <c r="F19" s="161"/>
      <c r="G19" s="161"/>
      <c r="H19" s="161"/>
    </row>
    <row r="20" spans="1:8">
      <c r="A20" s="162"/>
      <c r="B20" s="162"/>
      <c r="C20" s="162"/>
      <c r="D20" s="162"/>
      <c r="E20" s="162"/>
      <c r="F20" s="162"/>
      <c r="G20" s="162"/>
      <c r="H20" s="162"/>
    </row>
    <row r="21" spans="1:8" ht="15" customHeight="1">
      <c r="A21" s="168" t="s">
        <v>2</v>
      </c>
      <c r="B21" s="170" t="s">
        <v>3</v>
      </c>
      <c r="C21" s="170" t="s">
        <v>4</v>
      </c>
      <c r="D21" s="166" t="s">
        <v>5</v>
      </c>
      <c r="E21" s="167"/>
      <c r="F21" s="172" t="s">
        <v>147</v>
      </c>
      <c r="G21" s="166" t="s">
        <v>7</v>
      </c>
      <c r="H21" s="167"/>
    </row>
    <row r="22" spans="1:8">
      <c r="A22" s="169"/>
      <c r="B22" s="171"/>
      <c r="C22" s="171"/>
      <c r="D22" s="104" t="s">
        <v>8</v>
      </c>
      <c r="E22" s="104" t="s">
        <v>9</v>
      </c>
      <c r="F22" s="173"/>
      <c r="G22" s="105" t="s">
        <v>8</v>
      </c>
      <c r="H22" s="105" t="s">
        <v>9</v>
      </c>
    </row>
    <row r="23" spans="1:8">
      <c r="A23" s="106" t="s">
        <v>159</v>
      </c>
      <c r="B23" s="107"/>
      <c r="C23" s="107"/>
      <c r="D23" s="108"/>
      <c r="E23" s="108"/>
      <c r="F23" s="109"/>
      <c r="G23" s="109"/>
      <c r="H23" s="109"/>
    </row>
    <row r="24" spans="1:8">
      <c r="A24" s="136" t="s">
        <v>160</v>
      </c>
      <c r="B24" s="110" t="s">
        <v>152</v>
      </c>
      <c r="C24" s="110" t="s">
        <v>161</v>
      </c>
      <c r="D24" s="111">
        <v>2</v>
      </c>
      <c r="E24" s="111">
        <v>24</v>
      </c>
      <c r="F24" s="112">
        <v>18571.66</v>
      </c>
      <c r="G24" s="112">
        <f>D24*F24</f>
        <v>37143.32</v>
      </c>
      <c r="H24" s="112">
        <f>G24*12</f>
        <v>445719.83999999997</v>
      </c>
    </row>
    <row r="25" spans="1:8">
      <c r="A25" s="148" t="s">
        <v>162</v>
      </c>
      <c r="B25" s="149"/>
      <c r="C25" s="150"/>
      <c r="D25" s="113">
        <v>2</v>
      </c>
      <c r="E25" s="113">
        <v>24</v>
      </c>
      <c r="F25" s="114">
        <v>18571.66</v>
      </c>
      <c r="G25" s="103">
        <f>SUM(G20:G24)</f>
        <v>37143.32</v>
      </c>
      <c r="H25" s="103">
        <f t="shared" ref="H25" si="6">G25*12</f>
        <v>445719.83999999997</v>
      </c>
    </row>
    <row r="26" spans="1:8">
      <c r="A26" s="108"/>
      <c r="B26" s="107"/>
      <c r="C26" s="107"/>
      <c r="D26" s="108"/>
      <c r="E26" s="108"/>
      <c r="F26" s="109"/>
      <c r="G26" s="109"/>
      <c r="H26" s="109"/>
    </row>
    <row r="27" spans="1:8">
      <c r="A27" s="146" t="s">
        <v>163</v>
      </c>
      <c r="B27" s="147"/>
      <c r="C27" s="115" t="s">
        <v>93</v>
      </c>
      <c r="D27" s="115">
        <v>2</v>
      </c>
      <c r="E27" s="115">
        <v>180</v>
      </c>
      <c r="F27" s="116">
        <v>25114.19</v>
      </c>
      <c r="G27" s="117">
        <f>F27*D27</f>
        <v>50228.38</v>
      </c>
      <c r="H27" s="118">
        <f>G27*E27</f>
        <v>9041108.4000000004</v>
      </c>
    </row>
    <row r="28" spans="1:8">
      <c r="A28" s="52"/>
      <c r="B28" s="53"/>
      <c r="C28" s="53"/>
      <c r="D28" s="52"/>
      <c r="E28" s="52"/>
      <c r="F28" s="54"/>
      <c r="G28" s="54"/>
      <c r="H28" s="54"/>
    </row>
    <row r="29" spans="1:8">
      <c r="A29" s="94" t="s">
        <v>164</v>
      </c>
    </row>
  </sheetData>
  <mergeCells count="27">
    <mergeCell ref="A1:H1"/>
    <mergeCell ref="A18:C18"/>
    <mergeCell ref="A9:C9"/>
    <mergeCell ref="G21:H21"/>
    <mergeCell ref="A21:A22"/>
    <mergeCell ref="B21:B22"/>
    <mergeCell ref="C21:C22"/>
    <mergeCell ref="D21:E21"/>
    <mergeCell ref="F21:F22"/>
    <mergeCell ref="A12:A13"/>
    <mergeCell ref="B12:B13"/>
    <mergeCell ref="C12:C13"/>
    <mergeCell ref="D12:E12"/>
    <mergeCell ref="F12:F13"/>
    <mergeCell ref="G12:H12"/>
    <mergeCell ref="A27:B27"/>
    <mergeCell ref="A25:C25"/>
    <mergeCell ref="G2:H2"/>
    <mergeCell ref="A2:A3"/>
    <mergeCell ref="B2:B3"/>
    <mergeCell ref="C2:C3"/>
    <mergeCell ref="D2:E2"/>
    <mergeCell ref="F2:F3"/>
    <mergeCell ref="B14:H14"/>
    <mergeCell ref="B4:H4"/>
    <mergeCell ref="A10:H11"/>
    <mergeCell ref="A19:H20"/>
  </mergeCells>
  <pageMargins left="0.511811024" right="0.511811024" top="0.78740157499999996" bottom="0.78740157499999996" header="0.31496062000000002" footer="0.31496062000000002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D12"/>
  <sheetViews>
    <sheetView workbookViewId="0">
      <selection activeCell="A4" sqref="A4:D12"/>
    </sheetView>
  </sheetViews>
  <sheetFormatPr defaultRowHeight="15"/>
  <cols>
    <col min="1" max="1" width="43.85546875" customWidth="1"/>
    <col min="2" max="2" width="28" customWidth="1"/>
    <col min="3" max="3" width="22.5703125" customWidth="1"/>
    <col min="4" max="4" width="24.140625" customWidth="1"/>
  </cols>
  <sheetData>
    <row r="1" spans="1:4" ht="15" customHeight="1">
      <c r="A1" s="216" t="s">
        <v>165</v>
      </c>
      <c r="B1" s="216"/>
      <c r="C1" s="216"/>
      <c r="D1" s="216"/>
    </row>
    <row r="2" spans="1:4" ht="40.5" customHeight="1">
      <c r="A2" s="217"/>
      <c r="B2" s="217"/>
      <c r="C2" s="217"/>
      <c r="D2" s="217"/>
    </row>
    <row r="3" spans="1:4">
      <c r="A3" s="44" t="s">
        <v>166</v>
      </c>
      <c r="B3" s="45"/>
      <c r="C3" s="45"/>
      <c r="D3" s="46"/>
    </row>
    <row r="4" spans="1:4">
      <c r="A4" s="33" t="s">
        <v>167</v>
      </c>
      <c r="B4" s="24" t="s">
        <v>168</v>
      </c>
      <c r="C4" s="24" t="s">
        <v>169</v>
      </c>
      <c r="D4" s="24" t="s">
        <v>143</v>
      </c>
    </row>
    <row r="5" spans="1:4">
      <c r="A5" s="34" t="s">
        <v>170</v>
      </c>
      <c r="B5" s="35" t="s">
        <v>171</v>
      </c>
      <c r="C5" s="36">
        <v>55963.29</v>
      </c>
      <c r="D5" s="70">
        <f>C5*12</f>
        <v>671559.48</v>
      </c>
    </row>
    <row r="6" spans="1:4">
      <c r="A6" s="34" t="s">
        <v>172</v>
      </c>
      <c r="B6" s="35" t="s">
        <v>171</v>
      </c>
      <c r="C6" s="37">
        <v>11192.66</v>
      </c>
      <c r="D6" s="70">
        <f t="shared" ref="D6:D11" si="0">C6*12</f>
        <v>134311.91999999998</v>
      </c>
    </row>
    <row r="7" spans="1:4">
      <c r="A7" s="34" t="s">
        <v>173</v>
      </c>
      <c r="B7" s="35" t="s">
        <v>171</v>
      </c>
      <c r="C7" s="37">
        <v>59116.95</v>
      </c>
      <c r="D7" s="70">
        <f t="shared" si="0"/>
        <v>709403.39999999991</v>
      </c>
    </row>
    <row r="8" spans="1:4">
      <c r="A8" s="34" t="s">
        <v>174</v>
      </c>
      <c r="B8" s="35" t="s">
        <v>171</v>
      </c>
      <c r="C8" s="37">
        <v>51979.95</v>
      </c>
      <c r="D8" s="70">
        <f t="shared" si="0"/>
        <v>623759.39999999991</v>
      </c>
    </row>
    <row r="9" spans="1:4">
      <c r="A9" s="34" t="s">
        <v>175</v>
      </c>
      <c r="B9" s="35" t="s">
        <v>171</v>
      </c>
      <c r="C9" s="38">
        <v>41918.230000000003</v>
      </c>
      <c r="D9" s="70">
        <f t="shared" si="0"/>
        <v>503018.76</v>
      </c>
    </row>
    <row r="10" spans="1:4">
      <c r="A10" s="214" t="s">
        <v>176</v>
      </c>
      <c r="B10" s="215"/>
      <c r="C10" s="61">
        <f>SUM(C5:C9)</f>
        <v>220171.08</v>
      </c>
      <c r="D10" s="71">
        <f t="shared" si="0"/>
        <v>2642052.96</v>
      </c>
    </row>
    <row r="11" spans="1:4">
      <c r="A11" s="34" t="s">
        <v>170</v>
      </c>
      <c r="B11" s="42" t="s">
        <v>177</v>
      </c>
      <c r="C11" s="43">
        <v>28828.49</v>
      </c>
      <c r="D11" s="70">
        <f t="shared" si="0"/>
        <v>345941.88</v>
      </c>
    </row>
    <row r="12" spans="1:4">
      <c r="A12" s="72" t="s">
        <v>178</v>
      </c>
      <c r="B12" s="73"/>
      <c r="C12" s="74">
        <f>SUM(C10:C11)</f>
        <v>248999.56999999998</v>
      </c>
      <c r="D12" s="75">
        <f>SUM(D10:D11)</f>
        <v>2987994.84</v>
      </c>
    </row>
  </sheetData>
  <mergeCells count="2">
    <mergeCell ref="A10:B10"/>
    <mergeCell ref="A1:D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D11"/>
  <sheetViews>
    <sheetView workbookViewId="0">
      <selection activeCell="A4" sqref="A4:C11"/>
    </sheetView>
  </sheetViews>
  <sheetFormatPr defaultRowHeight="15"/>
  <cols>
    <col min="1" max="1" width="39.7109375" customWidth="1"/>
    <col min="2" max="2" width="20.42578125" customWidth="1"/>
    <col min="3" max="3" width="21.42578125" customWidth="1"/>
  </cols>
  <sheetData>
    <row r="1" spans="1:4" ht="39" customHeight="1">
      <c r="A1" s="218" t="s">
        <v>179</v>
      </c>
      <c r="B1" s="218"/>
      <c r="C1" s="218"/>
      <c r="D1" s="22"/>
    </row>
    <row r="2" spans="1:4">
      <c r="A2" s="219" t="s">
        <v>180</v>
      </c>
      <c r="B2" s="219"/>
      <c r="C2" s="219"/>
      <c r="D2" s="22"/>
    </row>
    <row r="3" spans="1:4">
      <c r="A3" s="63" t="s">
        <v>181</v>
      </c>
      <c r="B3" s="64" t="s">
        <v>182</v>
      </c>
      <c r="C3" s="65" t="s">
        <v>183</v>
      </c>
      <c r="D3" s="22"/>
    </row>
    <row r="4" spans="1:4">
      <c r="A4" s="90" t="s">
        <v>184</v>
      </c>
      <c r="B4" s="23">
        <f>'METAS AMBULATORIAIS '!E148+'METAS AMBULATORIAIS '!E128+'METAS AMBULATORIAIS '!E127+'METAS AMBULATORIAIS '!E125+'METAS AMBULATORIAIS '!E76+'METAS AMBULATORIAIS '!E68+'METAS AMBULATORIAIS '!E64</f>
        <v>21729</v>
      </c>
      <c r="C4" s="25">
        <f>B4*12</f>
        <v>260748</v>
      </c>
      <c r="D4" s="22"/>
    </row>
    <row r="5" spans="1:4">
      <c r="A5" s="90" t="s">
        <v>185</v>
      </c>
      <c r="B5" s="91">
        <f>'METAS AMBULATORIAIS '!E69+'METAS AMBULATORIAIS '!E94+'METAS AMBULATORIAIS '!E112+'METAS AMBULATORIAIS '!E121+'METAS AMBULATORIAIS '!E126</f>
        <v>1712</v>
      </c>
      <c r="C5" s="25">
        <f t="shared" ref="C5:C6" si="0">B5*12</f>
        <v>20544</v>
      </c>
      <c r="D5" s="22"/>
    </row>
    <row r="6" spans="1:4">
      <c r="A6" s="23" t="s">
        <v>186</v>
      </c>
      <c r="B6" s="27">
        <f>SUM(B4:B5)</f>
        <v>23441</v>
      </c>
      <c r="C6" s="25">
        <f t="shared" si="0"/>
        <v>281292</v>
      </c>
      <c r="D6" s="22"/>
    </row>
    <row r="7" spans="1:4">
      <c r="A7" s="90" t="s">
        <v>187</v>
      </c>
      <c r="B7" s="91">
        <f>'METAS HOSPITALARES+INTERNAÇÕES'!D9</f>
        <v>48</v>
      </c>
      <c r="C7" s="91">
        <f>B7*12</f>
        <v>576</v>
      </c>
      <c r="D7" s="22"/>
    </row>
    <row r="8" spans="1:4">
      <c r="A8" s="90" t="s">
        <v>188</v>
      </c>
      <c r="B8" s="91">
        <f>'METAS HOSPITALARES+INTERNAÇÕES'!D18</f>
        <v>607</v>
      </c>
      <c r="C8" s="91">
        <f t="shared" ref="C8:C10" si="1">B8*12</f>
        <v>7284</v>
      </c>
      <c r="D8" s="22"/>
    </row>
    <row r="9" spans="1:4">
      <c r="A9" s="90" t="s">
        <v>189</v>
      </c>
      <c r="B9" s="91">
        <f>'METAS HOSPITALARES+INTERNAÇÕES'!D24</f>
        <v>2</v>
      </c>
      <c r="C9" s="91">
        <f t="shared" si="1"/>
        <v>24</v>
      </c>
      <c r="D9" s="22"/>
    </row>
    <row r="10" spans="1:4">
      <c r="A10" s="88" t="s">
        <v>190</v>
      </c>
      <c r="B10" s="89">
        <f>B7+B8+B9</f>
        <v>657</v>
      </c>
      <c r="C10" s="87">
        <f t="shared" si="1"/>
        <v>7884</v>
      </c>
      <c r="D10" s="22"/>
    </row>
    <row r="11" spans="1:4">
      <c r="A11" s="63" t="s">
        <v>191</v>
      </c>
      <c r="B11" s="66">
        <f>B6+B10</f>
        <v>24098</v>
      </c>
      <c r="C11" s="66">
        <f>B11*12</f>
        <v>289176</v>
      </c>
      <c r="D11" s="22"/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P19"/>
  <sheetViews>
    <sheetView workbookViewId="0">
      <selection sqref="A1:C20"/>
    </sheetView>
  </sheetViews>
  <sheetFormatPr defaultRowHeight="15"/>
  <cols>
    <col min="1" max="1" width="56.28515625" customWidth="1"/>
    <col min="2" max="2" width="23.28515625" customWidth="1"/>
    <col min="3" max="3" width="26.140625" customWidth="1"/>
    <col min="4" max="4" width="24.7109375" customWidth="1"/>
    <col min="5" max="5" width="17" customWidth="1"/>
    <col min="6" max="6" width="18.85546875" customWidth="1"/>
    <col min="7" max="7" width="14.42578125" customWidth="1"/>
  </cols>
  <sheetData>
    <row r="1" spans="1:7" ht="36.75" customHeight="1">
      <c r="A1" s="223" t="s">
        <v>179</v>
      </c>
      <c r="B1" s="224"/>
      <c r="C1" s="225"/>
    </row>
    <row r="2" spans="1:7">
      <c r="A2" s="221" t="s">
        <v>192</v>
      </c>
      <c r="B2" s="219"/>
      <c r="C2" s="222"/>
    </row>
    <row r="3" spans="1:7">
      <c r="A3" s="55" t="s">
        <v>181</v>
      </c>
      <c r="B3" s="59" t="s">
        <v>182</v>
      </c>
      <c r="C3" s="60" t="s">
        <v>183</v>
      </c>
    </row>
    <row r="4" spans="1:7">
      <c r="A4" s="26" t="s">
        <v>193</v>
      </c>
      <c r="B4" s="28">
        <f>'METAS AMBULATORIAIS '!H64+'METAS AMBULATORIAIS '!H68+'METAS AMBULATORIAIS '!H76+'METAS AMBULATORIAIS '!H125+'METAS AMBULATORIAIS '!H127+'METAS AMBULATORIAIS '!H128+'METAS AMBULATORIAIS '!H148</f>
        <v>131286.32</v>
      </c>
      <c r="C4" s="28">
        <f>B4*12</f>
        <v>1575435.84</v>
      </c>
    </row>
    <row r="5" spans="1:7">
      <c r="A5" s="26" t="s">
        <v>185</v>
      </c>
      <c r="B5" s="62">
        <f>'METAS AMBULATORIAIS '!H69+'METAS AMBULATORIAIS '!H94+'METAS AMBULATORIAIS '!H112+'METAS AMBULATORIAIS '!H121+'METAS AMBULATORIAIS '!H126</f>
        <v>324859.62</v>
      </c>
      <c r="C5" s="28">
        <f t="shared" ref="C5:C6" si="0">B5*12</f>
        <v>3898315.44</v>
      </c>
    </row>
    <row r="6" spans="1:7">
      <c r="A6" s="55" t="s">
        <v>186</v>
      </c>
      <c r="B6" s="56">
        <f>SUM(B4:B5)</f>
        <v>456145.94</v>
      </c>
      <c r="C6" s="137">
        <f t="shared" si="0"/>
        <v>5473751.2800000003</v>
      </c>
    </row>
    <row r="7" spans="1:7">
      <c r="A7" s="30" t="s">
        <v>187</v>
      </c>
      <c r="B7" s="31">
        <f>'METAS HOSPITALARES+INTERNAÇÕES'!G9</f>
        <v>333024.27000000008</v>
      </c>
      <c r="C7" s="31">
        <f>B7*12</f>
        <v>3996291.2400000012</v>
      </c>
    </row>
    <row r="8" spans="1:7">
      <c r="A8" s="30" t="s">
        <v>189</v>
      </c>
      <c r="B8" s="31">
        <f>'METAS HOSPITALARES+INTERNAÇÕES'!G25</f>
        <v>37143.32</v>
      </c>
      <c r="C8" s="31">
        <f t="shared" ref="C8:C10" si="1">B8*12</f>
        <v>445719.83999999997</v>
      </c>
    </row>
    <row r="9" spans="1:7">
      <c r="A9" s="26" t="s">
        <v>194</v>
      </c>
      <c r="B9" s="32">
        <f>'METAS HOSPITALARES+INTERNAÇÕES'!G18</f>
        <v>486263.14</v>
      </c>
      <c r="C9" s="31">
        <f t="shared" si="1"/>
        <v>5835157.6799999997</v>
      </c>
      <c r="E9" s="76"/>
    </row>
    <row r="10" spans="1:7">
      <c r="A10" s="55" t="s">
        <v>191</v>
      </c>
      <c r="B10" s="57">
        <f>SUM(B7:B9)</f>
        <v>856430.7300000001</v>
      </c>
      <c r="C10" s="92">
        <f t="shared" si="1"/>
        <v>10277168.760000002</v>
      </c>
    </row>
    <row r="11" spans="1:7">
      <c r="A11" s="23" t="s">
        <v>195</v>
      </c>
      <c r="B11" s="29">
        <f>'INCENTIVOS '!C12</f>
        <v>248999.56999999998</v>
      </c>
      <c r="C11" s="29">
        <f>B11*12</f>
        <v>2987994.84</v>
      </c>
    </row>
    <row r="12" spans="1:7">
      <c r="A12" s="63" t="s">
        <v>196</v>
      </c>
      <c r="B12" s="119">
        <f>B11</f>
        <v>248999.56999999998</v>
      </c>
      <c r="C12" s="119">
        <f>B12*12</f>
        <v>2987994.84</v>
      </c>
    </row>
    <row r="13" spans="1:7">
      <c r="A13" s="90" t="s">
        <v>197</v>
      </c>
      <c r="B13" s="138">
        <f>'METAS AMBULATORIAIS '!H96+'METAS AMBULATORIAIS '!H114+'METAS AMBULATORIAIS '!H132</f>
        <v>151496</v>
      </c>
      <c r="C13" s="138">
        <f t="shared" ref="C13:C14" si="2">B13*12</f>
        <v>1817952</v>
      </c>
    </row>
    <row r="14" spans="1:7">
      <c r="A14" s="90" t="s">
        <v>198</v>
      </c>
      <c r="B14" s="138">
        <f>'METAS HOSPITALARES+INTERNAÇÕES'!G27</f>
        <v>50228.38</v>
      </c>
      <c r="C14" s="138">
        <f t="shared" si="2"/>
        <v>602740.55999999994</v>
      </c>
    </row>
    <row r="15" spans="1:7">
      <c r="A15" s="58" t="s">
        <v>199</v>
      </c>
      <c r="B15" s="56">
        <f>SUM(B13:B14)</f>
        <v>201724.38</v>
      </c>
      <c r="C15" s="56">
        <f>SUM(C13:C14)</f>
        <v>2420692.56</v>
      </c>
      <c r="F15" s="67"/>
      <c r="G15" s="68"/>
    </row>
    <row r="16" spans="1:7">
      <c r="A16" s="63" t="s">
        <v>200</v>
      </c>
      <c r="B16" s="139">
        <f>B6+B10+B12+B15</f>
        <v>1763300.62</v>
      </c>
      <c r="C16" s="140">
        <f>B16*12</f>
        <v>21159607.440000001</v>
      </c>
      <c r="F16" s="68"/>
    </row>
    <row r="19" spans="1:16" ht="53.25" customHeight="1">
      <c r="A19" s="220" t="s">
        <v>201</v>
      </c>
      <c r="B19" s="220"/>
      <c r="C19" s="2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</row>
  </sheetData>
  <mergeCells count="3">
    <mergeCell ref="A19:C19"/>
    <mergeCell ref="A2:C2"/>
    <mergeCell ref="A1:C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H33"/>
  <sheetViews>
    <sheetView workbookViewId="0">
      <selection activeCell="D38" sqref="D38"/>
    </sheetView>
  </sheetViews>
  <sheetFormatPr defaultRowHeight="15"/>
  <cols>
    <col min="1" max="1" width="6" style="124" customWidth="1"/>
    <col min="2" max="2" width="27.42578125" customWidth="1"/>
    <col min="3" max="3" width="27" style="86" customWidth="1"/>
    <col min="4" max="4" width="23.7109375" style="86" customWidth="1"/>
    <col min="5" max="5" width="26.42578125" style="86" customWidth="1"/>
    <col min="6" max="6" width="26" style="86" customWidth="1"/>
    <col min="7" max="7" width="22.7109375" style="86" customWidth="1"/>
    <col min="8" max="8" width="14.85546875" style="86" customWidth="1"/>
  </cols>
  <sheetData>
    <row r="1" spans="1:8" ht="51" customHeight="1" thickBot="1">
      <c r="A1" s="239" t="s">
        <v>202</v>
      </c>
      <c r="B1" s="240"/>
      <c r="C1" s="240"/>
      <c r="D1" s="240"/>
      <c r="E1" s="130"/>
      <c r="F1" s="130"/>
      <c r="G1" s="124"/>
      <c r="H1" s="130"/>
    </row>
    <row r="2" spans="1:8" ht="48" customHeight="1" thickBot="1">
      <c r="A2" s="131"/>
      <c r="B2" s="132" t="s">
        <v>203</v>
      </c>
      <c r="C2" s="132" t="s">
        <v>204</v>
      </c>
      <c r="D2" s="132" t="s">
        <v>205</v>
      </c>
      <c r="E2" s="132" t="s">
        <v>206</v>
      </c>
      <c r="F2" s="132" t="s">
        <v>207</v>
      </c>
      <c r="G2" s="132" t="s">
        <v>208</v>
      </c>
      <c r="H2" s="133" t="s">
        <v>209</v>
      </c>
    </row>
    <row r="3" spans="1:8" ht="55.5" customHeight="1">
      <c r="A3" s="244">
        <v>1</v>
      </c>
      <c r="B3" s="243" t="s">
        <v>210</v>
      </c>
      <c r="C3" s="241" t="s">
        <v>211</v>
      </c>
      <c r="D3" s="241" t="s">
        <v>212</v>
      </c>
      <c r="E3" s="125" t="s">
        <v>213</v>
      </c>
      <c r="F3" s="241" t="s">
        <v>214</v>
      </c>
      <c r="G3" s="241" t="s">
        <v>215</v>
      </c>
      <c r="H3" s="242">
        <v>10</v>
      </c>
    </row>
    <row r="4" spans="1:8" ht="86.25" customHeight="1" thickBot="1">
      <c r="A4" s="229"/>
      <c r="B4" s="235"/>
      <c r="C4" s="238"/>
      <c r="D4" s="238"/>
      <c r="E4" s="121" t="s">
        <v>216</v>
      </c>
      <c r="F4" s="238"/>
      <c r="G4" s="238"/>
      <c r="H4" s="232"/>
    </row>
    <row r="5" spans="1:8" ht="71.25" customHeight="1">
      <c r="A5" s="229">
        <v>2</v>
      </c>
      <c r="B5" s="233" t="s">
        <v>217</v>
      </c>
      <c r="C5" s="236" t="s">
        <v>218</v>
      </c>
      <c r="D5" s="236" t="s">
        <v>219</v>
      </c>
      <c r="E5" s="122" t="s">
        <v>220</v>
      </c>
      <c r="F5" s="236" t="s">
        <v>221</v>
      </c>
      <c r="G5" s="236" t="s">
        <v>215</v>
      </c>
      <c r="H5" s="230">
        <v>10</v>
      </c>
    </row>
    <row r="6" spans="1:8" ht="95.25" thickBot="1">
      <c r="A6" s="229"/>
      <c r="B6" s="235"/>
      <c r="C6" s="238"/>
      <c r="D6" s="238"/>
      <c r="E6" s="121" t="s">
        <v>222</v>
      </c>
      <c r="F6" s="238"/>
      <c r="G6" s="238"/>
      <c r="H6" s="232"/>
    </row>
    <row r="7" spans="1:8" ht="63" customHeight="1">
      <c r="A7" s="229">
        <v>3</v>
      </c>
      <c r="B7" s="233" t="s">
        <v>223</v>
      </c>
      <c r="C7" s="236" t="s">
        <v>224</v>
      </c>
      <c r="D7" s="236" t="s">
        <v>225</v>
      </c>
      <c r="E7" s="122" t="s">
        <v>226</v>
      </c>
      <c r="F7" s="236" t="s">
        <v>227</v>
      </c>
      <c r="G7" s="236" t="s">
        <v>228</v>
      </c>
      <c r="H7" s="230">
        <v>10</v>
      </c>
    </row>
    <row r="8" spans="1:8" ht="63.75" thickBot="1">
      <c r="A8" s="229"/>
      <c r="B8" s="235"/>
      <c r="C8" s="238"/>
      <c r="D8" s="238"/>
      <c r="E8" s="121" t="s">
        <v>229</v>
      </c>
      <c r="F8" s="238"/>
      <c r="G8" s="238"/>
      <c r="H8" s="232"/>
    </row>
    <row r="9" spans="1:8" ht="20.25" customHeight="1">
      <c r="A9" s="229">
        <v>4</v>
      </c>
      <c r="B9" s="233" t="s">
        <v>230</v>
      </c>
      <c r="C9" s="236" t="s">
        <v>231</v>
      </c>
      <c r="D9" s="236" t="s">
        <v>232</v>
      </c>
      <c r="E9" s="236" t="s">
        <v>233</v>
      </c>
      <c r="F9" s="236" t="s">
        <v>234</v>
      </c>
      <c r="G9" s="236" t="s">
        <v>235</v>
      </c>
      <c r="H9" s="230">
        <v>10</v>
      </c>
    </row>
    <row r="10" spans="1:8" ht="45" customHeight="1" thickBot="1">
      <c r="A10" s="229"/>
      <c r="B10" s="235"/>
      <c r="C10" s="238"/>
      <c r="D10" s="238"/>
      <c r="E10" s="238"/>
      <c r="F10" s="238"/>
      <c r="G10" s="238"/>
      <c r="H10" s="232"/>
    </row>
    <row r="11" spans="1:8" ht="15" customHeight="1">
      <c r="A11" s="229">
        <v>5</v>
      </c>
      <c r="B11" s="233" t="s">
        <v>236</v>
      </c>
      <c r="C11" s="236" t="s">
        <v>237</v>
      </c>
      <c r="D11" s="236" t="s">
        <v>238</v>
      </c>
      <c r="E11" s="236" t="s">
        <v>239</v>
      </c>
      <c r="F11" s="236" t="s">
        <v>240</v>
      </c>
      <c r="G11" s="236" t="s">
        <v>241</v>
      </c>
      <c r="H11" s="230">
        <v>10</v>
      </c>
    </row>
    <row r="12" spans="1:8" ht="15" customHeight="1">
      <c r="A12" s="229"/>
      <c r="B12" s="234"/>
      <c r="C12" s="237"/>
      <c r="D12" s="237"/>
      <c r="E12" s="237"/>
      <c r="F12" s="237"/>
      <c r="G12" s="237"/>
      <c r="H12" s="231"/>
    </row>
    <row r="13" spans="1:8" ht="15" customHeight="1">
      <c r="A13" s="229"/>
      <c r="B13" s="234"/>
      <c r="C13" s="237"/>
      <c r="D13" s="237"/>
      <c r="E13" s="237"/>
      <c r="F13" s="237"/>
      <c r="G13" s="237"/>
      <c r="H13" s="231"/>
    </row>
    <row r="14" spans="1:8" ht="15" customHeight="1">
      <c r="A14" s="229"/>
      <c r="B14" s="234"/>
      <c r="C14" s="237"/>
      <c r="D14" s="237"/>
      <c r="E14" s="237"/>
      <c r="F14" s="237"/>
      <c r="G14" s="237"/>
      <c r="H14" s="231"/>
    </row>
    <row r="15" spans="1:8" ht="15" customHeight="1">
      <c r="A15" s="229"/>
      <c r="B15" s="234"/>
      <c r="C15" s="237"/>
      <c r="D15" s="237"/>
      <c r="E15" s="237"/>
      <c r="F15" s="237"/>
      <c r="G15" s="237"/>
      <c r="H15" s="231"/>
    </row>
    <row r="16" spans="1:8" ht="15.75" customHeight="1" thickBot="1">
      <c r="A16" s="229"/>
      <c r="B16" s="235"/>
      <c r="C16" s="238"/>
      <c r="D16" s="238"/>
      <c r="E16" s="238"/>
      <c r="F16" s="238"/>
      <c r="G16" s="238"/>
      <c r="H16" s="232"/>
    </row>
    <row r="17" spans="1:8" ht="79.5" thickBot="1">
      <c r="A17" s="134">
        <v>6</v>
      </c>
      <c r="B17" s="123" t="s">
        <v>242</v>
      </c>
      <c r="C17" s="121" t="s">
        <v>237</v>
      </c>
      <c r="D17" s="121" t="s">
        <v>243</v>
      </c>
      <c r="E17" s="121" t="s">
        <v>244</v>
      </c>
      <c r="F17" s="121" t="s">
        <v>240</v>
      </c>
      <c r="G17" s="121" t="s">
        <v>241</v>
      </c>
      <c r="H17" s="126">
        <v>10</v>
      </c>
    </row>
    <row r="18" spans="1:8" ht="20.25" customHeight="1">
      <c r="A18" s="229">
        <v>7</v>
      </c>
      <c r="B18" s="233" t="s">
        <v>245</v>
      </c>
      <c r="C18" s="236" t="s">
        <v>237</v>
      </c>
      <c r="D18" s="236" t="s">
        <v>246</v>
      </c>
      <c r="E18" s="236" t="s">
        <v>247</v>
      </c>
      <c r="F18" s="236" t="s">
        <v>248</v>
      </c>
      <c r="G18" s="236" t="s">
        <v>241</v>
      </c>
      <c r="H18" s="230">
        <v>10</v>
      </c>
    </row>
    <row r="19" spans="1:8" ht="44.25" customHeight="1" thickBot="1">
      <c r="A19" s="229"/>
      <c r="B19" s="235"/>
      <c r="C19" s="238"/>
      <c r="D19" s="238"/>
      <c r="E19" s="238"/>
      <c r="F19" s="238"/>
      <c r="G19" s="238"/>
      <c r="H19" s="232"/>
    </row>
    <row r="20" spans="1:8" ht="15.75" customHeight="1">
      <c r="A20" s="229">
        <v>8</v>
      </c>
      <c r="B20" s="233" t="s">
        <v>249</v>
      </c>
      <c r="C20" s="236" t="s">
        <v>237</v>
      </c>
      <c r="D20" s="236" t="s">
        <v>250</v>
      </c>
      <c r="E20" s="236" t="s">
        <v>251</v>
      </c>
      <c r="F20" s="122" t="s">
        <v>252</v>
      </c>
      <c r="G20" s="236" t="s">
        <v>241</v>
      </c>
      <c r="H20" s="230">
        <v>10</v>
      </c>
    </row>
    <row r="21" spans="1:8" ht="15.75">
      <c r="A21" s="229"/>
      <c r="B21" s="234"/>
      <c r="C21" s="237"/>
      <c r="D21" s="237"/>
      <c r="E21" s="237"/>
      <c r="F21" s="122" t="s">
        <v>253</v>
      </c>
      <c r="G21" s="237"/>
      <c r="H21" s="231"/>
    </row>
    <row r="22" spans="1:8" ht="15.75">
      <c r="A22" s="229"/>
      <c r="B22" s="234"/>
      <c r="C22" s="237"/>
      <c r="D22" s="237"/>
      <c r="E22" s="237"/>
      <c r="F22" s="122" t="s">
        <v>254</v>
      </c>
      <c r="G22" s="237"/>
      <c r="H22" s="231"/>
    </row>
    <row r="23" spans="1:8" ht="16.5" thickBot="1">
      <c r="A23" s="229"/>
      <c r="B23" s="235"/>
      <c r="C23" s="238"/>
      <c r="D23" s="238"/>
      <c r="E23" s="238"/>
      <c r="F23" s="121" t="s">
        <v>255</v>
      </c>
      <c r="G23" s="238"/>
      <c r="H23" s="232"/>
    </row>
    <row r="24" spans="1:8" ht="95.25" thickBot="1">
      <c r="A24" s="134">
        <v>9</v>
      </c>
      <c r="B24" s="123" t="s">
        <v>256</v>
      </c>
      <c r="C24" s="121" t="s">
        <v>257</v>
      </c>
      <c r="D24" s="121" t="s">
        <v>258</v>
      </c>
      <c r="E24" s="121" t="s">
        <v>259</v>
      </c>
      <c r="F24" s="121" t="s">
        <v>260</v>
      </c>
      <c r="G24" s="121" t="s">
        <v>261</v>
      </c>
      <c r="H24" s="126">
        <v>10</v>
      </c>
    </row>
    <row r="25" spans="1:8" ht="15" customHeight="1">
      <c r="A25" s="229">
        <v>10</v>
      </c>
      <c r="B25" s="233" t="s">
        <v>262</v>
      </c>
      <c r="C25" s="236" t="s">
        <v>263</v>
      </c>
      <c r="D25" s="236" t="s">
        <v>264</v>
      </c>
      <c r="E25" s="236" t="s">
        <v>265</v>
      </c>
      <c r="F25" s="236" t="s">
        <v>266</v>
      </c>
      <c r="G25" s="236" t="s">
        <v>267</v>
      </c>
      <c r="H25" s="230">
        <v>10</v>
      </c>
    </row>
    <row r="26" spans="1:8" ht="15" customHeight="1">
      <c r="A26" s="229"/>
      <c r="B26" s="234"/>
      <c r="C26" s="237"/>
      <c r="D26" s="237"/>
      <c r="E26" s="237"/>
      <c r="F26" s="237"/>
      <c r="G26" s="237"/>
      <c r="H26" s="231"/>
    </row>
    <row r="27" spans="1:8" ht="15" customHeight="1">
      <c r="A27" s="229"/>
      <c r="B27" s="234"/>
      <c r="C27" s="237"/>
      <c r="D27" s="237"/>
      <c r="E27" s="237"/>
      <c r="F27" s="237"/>
      <c r="G27" s="237"/>
      <c r="H27" s="231"/>
    </row>
    <row r="28" spans="1:8" ht="15" customHeight="1">
      <c r="A28" s="229"/>
      <c r="B28" s="234"/>
      <c r="C28" s="237"/>
      <c r="D28" s="237"/>
      <c r="E28" s="237"/>
      <c r="F28" s="237"/>
      <c r="G28" s="237"/>
      <c r="H28" s="231"/>
    </row>
    <row r="29" spans="1:8" ht="15" customHeight="1">
      <c r="A29" s="229"/>
      <c r="B29" s="234"/>
      <c r="C29" s="237"/>
      <c r="D29" s="237"/>
      <c r="E29" s="237"/>
      <c r="F29" s="237"/>
      <c r="G29" s="237"/>
      <c r="H29" s="231"/>
    </row>
    <row r="30" spans="1:8" ht="15" customHeight="1">
      <c r="A30" s="229"/>
      <c r="B30" s="234"/>
      <c r="C30" s="237"/>
      <c r="D30" s="237"/>
      <c r="E30" s="237"/>
      <c r="F30" s="237"/>
      <c r="G30" s="237"/>
      <c r="H30" s="231"/>
    </row>
    <row r="31" spans="1:8" ht="15.75" customHeight="1" thickBot="1">
      <c r="A31" s="229"/>
      <c r="B31" s="235"/>
      <c r="C31" s="238"/>
      <c r="D31" s="238"/>
      <c r="E31" s="238"/>
      <c r="F31" s="238"/>
      <c r="G31" s="238"/>
      <c r="H31" s="232"/>
    </row>
    <row r="32" spans="1:8" ht="111" thickBot="1">
      <c r="A32" s="135">
        <v>11</v>
      </c>
      <c r="B32" s="129" t="s">
        <v>268</v>
      </c>
      <c r="C32" s="127" t="s">
        <v>269</v>
      </c>
      <c r="D32" s="127" t="s">
        <v>270</v>
      </c>
      <c r="E32" s="127" t="s">
        <v>271</v>
      </c>
      <c r="F32" s="127" t="s">
        <v>272</v>
      </c>
      <c r="G32" s="127" t="s">
        <v>273</v>
      </c>
      <c r="H32" s="128">
        <v>10</v>
      </c>
    </row>
    <row r="33" spans="1:8" ht="58.5" customHeight="1" thickBot="1">
      <c r="A33" s="226" t="s">
        <v>274</v>
      </c>
      <c r="B33" s="227"/>
      <c r="C33" s="227"/>
      <c r="D33" s="227"/>
      <c r="E33" s="227"/>
      <c r="F33" s="227"/>
      <c r="G33" s="227"/>
      <c r="H33" s="228"/>
    </row>
  </sheetData>
  <mergeCells count="62">
    <mergeCell ref="B11:B16"/>
    <mergeCell ref="A3:A4"/>
    <mergeCell ref="F3:F4"/>
    <mergeCell ref="C9:C10"/>
    <mergeCell ref="B9:B10"/>
    <mergeCell ref="F7:F8"/>
    <mergeCell ref="D9:D10"/>
    <mergeCell ref="E9:E10"/>
    <mergeCell ref="F9:F10"/>
    <mergeCell ref="C11:C16"/>
    <mergeCell ref="A1:D1"/>
    <mergeCell ref="G3:G4"/>
    <mergeCell ref="H3:H4"/>
    <mergeCell ref="B3:B4"/>
    <mergeCell ref="C3:C4"/>
    <mergeCell ref="D3:D4"/>
    <mergeCell ref="G7:G8"/>
    <mergeCell ref="H7:H8"/>
    <mergeCell ref="A5:A6"/>
    <mergeCell ref="A7:A8"/>
    <mergeCell ref="B5:B6"/>
    <mergeCell ref="C5:C6"/>
    <mergeCell ref="D5:D6"/>
    <mergeCell ref="F5:F6"/>
    <mergeCell ref="G5:G6"/>
    <mergeCell ref="H5:H6"/>
    <mergeCell ref="D7:D8"/>
    <mergeCell ref="B7:B8"/>
    <mergeCell ref="C7:C8"/>
    <mergeCell ref="G9:G10"/>
    <mergeCell ref="H9:H10"/>
    <mergeCell ref="D20:D23"/>
    <mergeCell ref="E20:E23"/>
    <mergeCell ref="G20:G23"/>
    <mergeCell ref="H11:H16"/>
    <mergeCell ref="G18:G19"/>
    <mergeCell ref="H18:H19"/>
    <mergeCell ref="D11:D16"/>
    <mergeCell ref="E11:E16"/>
    <mergeCell ref="F11:F16"/>
    <mergeCell ref="G11:G16"/>
    <mergeCell ref="B18:B19"/>
    <mergeCell ref="C18:C19"/>
    <mergeCell ref="D18:D19"/>
    <mergeCell ref="E18:E19"/>
    <mergeCell ref="F18:F19"/>
    <mergeCell ref="A33:H33"/>
    <mergeCell ref="A25:A31"/>
    <mergeCell ref="A11:A16"/>
    <mergeCell ref="A9:A10"/>
    <mergeCell ref="A18:A19"/>
    <mergeCell ref="A20:A23"/>
    <mergeCell ref="H20:H23"/>
    <mergeCell ref="B25:B31"/>
    <mergeCell ref="C25:C31"/>
    <mergeCell ref="D25:D31"/>
    <mergeCell ref="E25:E31"/>
    <mergeCell ref="F25:F31"/>
    <mergeCell ref="G25:G31"/>
    <mergeCell ref="H25:H31"/>
    <mergeCell ref="B20:B23"/>
    <mergeCell ref="C20:C23"/>
  </mergeCells>
  <pageMargins left="0.511811024" right="0.511811024" top="0.78740157499999996" bottom="0.78740157499999996" header="0.31496062000000002" footer="0.31496062000000002"/>
  <pageSetup paperSize="9" scale="7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9B34C14182114FBBB46FDA61BB824C" ma:contentTypeVersion="3" ma:contentTypeDescription="Crie um novo documento." ma:contentTypeScope="" ma:versionID="e36ad66b07ac5ec58e9514b93eb3802e">
  <xsd:schema xmlns:xsd="http://www.w3.org/2001/XMLSchema" xmlns:xs="http://www.w3.org/2001/XMLSchema" xmlns:p="http://schemas.microsoft.com/office/2006/metadata/properties" xmlns:ns2="b013e7eb-0b73-4073-8fd5-d078e75c71b4" targetNamespace="http://schemas.microsoft.com/office/2006/metadata/properties" ma:root="true" ma:fieldsID="ff05631060482f4d4702313709b93185" ns2:_="">
    <xsd:import namespace="b013e7eb-0b73-4073-8fd5-d078e75c7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3e7eb-0b73-4073-8fd5-d078e75c71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127661-AFB5-46E7-859C-0A1E21FF7032}"/>
</file>

<file path=customXml/itemProps2.xml><?xml version="1.0" encoding="utf-8"?>
<ds:datastoreItem xmlns:ds="http://schemas.openxmlformats.org/officeDocument/2006/customXml" ds:itemID="{E013A292-C893-4458-9AE1-7BF499157A08}"/>
</file>

<file path=customXml/itemProps3.xml><?xml version="1.0" encoding="utf-8"?>
<ds:datastoreItem xmlns:ds="http://schemas.openxmlformats.org/officeDocument/2006/customXml" ds:itemID="{94A8C3CF-2889-4A00-805C-316035EB8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ana.freitas</dc:creator>
  <cp:keywords/>
  <dc:description/>
  <cp:lastModifiedBy>Pablo Silva</cp:lastModifiedBy>
  <cp:revision/>
  <dcterms:created xsi:type="dcterms:W3CDTF">2025-04-01T17:16:20Z</dcterms:created>
  <dcterms:modified xsi:type="dcterms:W3CDTF">2026-07-01T15:25:40Z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0x010100319B34C14182114FBBB46FDA61BB824C</vt:lpwstr>
  </property>
</Properties>
</file>